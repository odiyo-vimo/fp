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3.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PIs" sheetId="2" state="visible" r:id="rId4"/>
    <sheet name="API1 request" sheetId="3" state="visible" r:id="rId5"/>
    <sheet name="API1 response" sheetId="4" state="visible" r:id="rId6"/>
    <sheet name="API1 errors" sheetId="5" state="visible" r:id="rId7"/>
    <sheet name="API2 request" sheetId="6" state="visible" r:id="rId8"/>
    <sheet name="API2 response" sheetId="7" state="visible" r:id="rId9"/>
    <sheet name="API2 errors" sheetId="8" state="visible" r:id="rId10"/>
    <sheet name="API3 request" sheetId="9" state="visible" r:id="rId11"/>
    <sheet name="API3 response" sheetId="10" state="visible" r:id="rId12"/>
    <sheet name="API3 errors" sheetId="11" state="visible" r:id="rId13"/>
    <sheet name="Delete outcomes" sheetId="12" state="visible" r:id="rId14"/>
    <sheet name="ID mapping" sheetId="13" state="visible" r:id="rId15"/>
    <sheet name="File states" sheetId="14" state="visible" r:id="rId16"/>
    <sheet name="Events" sheetId="15" state="visible" r:id="rId17"/>
    <sheet name="Policy defaults" sheetId="16" state="visible" r:id="rId18"/>
    <sheet name="Build components" sheetId="17" state="visible" r:id="rId19"/>
    <sheet name="Boomi assumptions" sheetId="18" state="visible" r:id="rId20"/>
    <sheet name="Open decisions" sheetId="19" state="visible" r:id="rId21"/>
    <sheet name="Non-functional" sheetId="20" state="visible" r:id="rId22"/>
    <sheet name="References" sheetId="21" state="visible" r:id="rId23"/>
  </sheets>
  <definedNames>
    <definedName function="false" hidden="true" localSheetId="4" name="_xlnm._FilterDatabase" vbProcedure="false">'API1 errors'!$A$1:$D$9</definedName>
    <definedName function="false" hidden="true" localSheetId="2" name="_xlnm._FilterDatabase" vbProcedure="false">'API1 request'!$A$1:$F$15</definedName>
    <definedName function="false" hidden="true" localSheetId="3" name="_xlnm._FilterDatabase" vbProcedure="false">'API1 response'!$A$1:$D$11</definedName>
    <definedName function="false" hidden="true" localSheetId="7" name="_xlnm._FilterDatabase" vbProcedure="false">'API2 errors'!$A$1:$D$9</definedName>
    <definedName function="false" hidden="true" localSheetId="5" name="_xlnm._FilterDatabase" vbProcedure="false">'API2 request'!$A$1:$F$8</definedName>
    <definedName function="false" hidden="true" localSheetId="6" name="_xlnm._FilterDatabase" vbProcedure="false">'API2 response'!$A$1:$D$6</definedName>
    <definedName function="false" hidden="true" localSheetId="10" name="_xlnm._FilterDatabase" vbProcedure="false">'API3 errors'!$A$1:$D$8</definedName>
    <definedName function="false" hidden="true" localSheetId="8" name="_xlnm._FilterDatabase" vbProcedure="false">'API3 request'!$A$1:$F$11</definedName>
    <definedName function="false" hidden="true" localSheetId="9" name="_xlnm._FilterDatabase" vbProcedure="false">'API3 response'!$A$1:$D$6</definedName>
    <definedName function="false" hidden="true" localSheetId="1" name="_xlnm._FilterDatabase" vbProcedure="false">APIs!$A$1:$E$4</definedName>
    <definedName function="false" hidden="true" localSheetId="17" name="_xlnm._FilterDatabase" vbProcedure="false">'Boomi assumptions'!$A$1:$H$18</definedName>
    <definedName function="false" hidden="true" localSheetId="16" name="_xlnm._FilterDatabase" vbProcedure="false">'Build components'!$A$1:$C$12</definedName>
    <definedName function="false" hidden="true" localSheetId="11" name="_xlnm._FilterDatabase" vbProcedure="false">'Delete outcomes'!$A$1:$C$7</definedName>
    <definedName function="false" hidden="true" localSheetId="14" name="_xlnm._FilterDatabase" vbProcedure="false">Events!$A$1:$C$7</definedName>
    <definedName function="false" hidden="true" localSheetId="13" name="_xlnm._FilterDatabase" vbProcedure="false">'File states'!$A$1:$C$10</definedName>
    <definedName function="false" hidden="true" localSheetId="12" name="_xlnm._FilterDatabase" vbProcedure="false">'ID mapping'!$A$1:$D$6</definedName>
    <definedName function="false" hidden="true" localSheetId="19" name="_xlnm._FilterDatabase" vbProcedure="false">'Non-functional'!$A$1:$B$7</definedName>
    <definedName function="false" hidden="true" localSheetId="18" name="_xlnm._FilterDatabase" vbProcedure="false">'Open decisions'!$A$1:$H$9</definedName>
    <definedName function="false" hidden="true" localSheetId="15" name="_xlnm._FilterDatabase" vbProcedure="false">'Policy defaults'!$A$1:$C$10</definedName>
    <definedName function="false" hidden="true" localSheetId="20" name="_xlnm._FilterDatabase" vbProcedure="false">References!$A$1:$B$8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<sst xmlns="http://schemas.openxmlformats.org/spreadsheetml/2006/main" count="803" uniqueCount="544">
  <si>
    <t xml:space="preserve">MFT Presigned Upload and Delete APIs: integration specification workbook</t>
  </si>
  <si>
    <t xml:space="preserve">Integration design: Boomi API Management, Boomi MFT (SFTP hosting) and Boomi Event Streams</t>
  </si>
  <si>
    <t xml:space="preserve">IDD-FT-002 | version 0.1 (draft) | 3 October 2026 | Draft for design authority review</t>
  </si>
  <si>
    <t xml:space="preserve">How to use</t>
  </si>
  <si>
    <t xml:space="preserve">Generated from the same data file as the Word design, the draw.io diagrams and the OpenAPI and AsyncAPI contracts.</t>
  </si>
  <si>
    <t xml:space="preserve">API tabs are prefixed API1, API2 and API3 (fields, response, errors). Shared tabs cover assumptions, decisions, states, events and policy.</t>
  </si>
  <si>
    <t xml:space="preserve">Yellow cells are for the review: validated flag and note on Boomi assumptions; named owner and decision on Open decisions. Status uses a drop-down.</t>
  </si>
  <si>
    <t xml:space="preserve">Summary (live counts)</t>
  </si>
  <si>
    <t xml:space="preserve">Open decisions (Open)</t>
  </si>
  <si>
    <t xml:space="preserve">Decisions agreed</t>
  </si>
  <si>
    <t xml:space="preserve">Boomi assumptions validated (Yes)</t>
  </si>
  <si>
    <t xml:space="preserve">Boomi assumptions in total</t>
  </si>
  <si>
    <t xml:space="preserve">Events</t>
  </si>
  <si>
    <t xml:space="preserve">API</t>
  </si>
  <si>
    <t xml:space="preserve">Method</t>
  </si>
  <si>
    <t xml:space="preserve">Path (base https://api.hip.example/file-transfer/v1)</t>
  </si>
  <si>
    <t xml:space="preserve">Purpose</t>
  </si>
  <si>
    <t xml:space="preserve">Authentication</t>
  </si>
  <si>
    <t xml:space="preserve">API 1</t>
  </si>
  <si>
    <t xml:space="preserve">POST</t>
  </si>
  <si>
    <t xml:space="preserve">/generate_presignedurl</t>
  </si>
  <si>
    <t xml:space="preserve">Generate presigned URL</t>
  </si>
  <si>
    <t xml:space="preserve">OAuth2 client credentials, scope file-transfer.upload.request</t>
  </si>
  <si>
    <t xml:space="preserve">API 2</t>
  </si>
  <si>
    <t xml:space="preserve">PUT</t>
  </si>
  <si>
    <t xml:space="preserve">/uploads/{fileId}?expires&amp;kid&amp;sig</t>
  </si>
  <si>
    <t xml:space="preserve">Upload to the presigned URL</t>
  </si>
  <si>
    <t xml:space="preserve">None: the signed URL is the credential (single use, 900 s)</t>
  </si>
  <si>
    <t xml:space="preserve">API 3</t>
  </si>
  <si>
    <t xml:space="preserve">/delete_file</t>
  </si>
  <si>
    <t xml:space="preserve">Delete a file</t>
  </si>
  <si>
    <t xml:space="preserve">OAuth2 client credentials, scope file-transfer.file.delete</t>
  </si>
  <si>
    <t xml:space="preserve">Name</t>
  </si>
  <si>
    <t xml:space="preserve">Type</t>
  </si>
  <si>
    <t xml:space="preserve">Required</t>
  </si>
  <si>
    <t xml:space="preserve">Constraints</t>
  </si>
  <si>
    <t xml:space="preserve">Description</t>
  </si>
  <si>
    <t xml:space="preserve">Location</t>
  </si>
  <si>
    <t xml:space="preserve">Authorization</t>
  </si>
  <si>
    <t xml:space="preserve">string</t>
  </si>
  <si>
    <t xml:space="preserve">Yes</t>
  </si>
  <si>
    <t xml:space="preserve">Bearer token</t>
  </si>
  <si>
    <t xml:space="preserve">OAuth2 client credentials.</t>
  </si>
  <si>
    <t xml:space="preserve">Header</t>
  </si>
  <si>
    <t xml:space="preserve">Content-Type</t>
  </si>
  <si>
    <t xml:space="preserve">application/json</t>
  </si>
  <si>
    <t xml:space="preserve">X-Correlation-ID</t>
  </si>
  <si>
    <t xml:space="preserve">UUID</t>
  </si>
  <si>
    <t xml:space="preserve">No</t>
  </si>
  <si>
    <t xml:space="preserve">Must equal body correlationId</t>
  </si>
  <si>
    <t xml:space="preserve">Generated by the gateway if absent.</t>
  </si>
  <si>
    <t xml:space="preserve">Idempotency-Key</t>
  </si>
  <si>
    <t xml:space="preserve">Unique per logical request; kept 24 h</t>
  </si>
  <si>
    <t xml:space="preserve">Same key and body returns the stored response; different body returns 409.</t>
  </si>
  <si>
    <t xml:space="preserve">correlationId</t>
  </si>
  <si>
    <t xml:space="preserve">string (UUID)</t>
  </si>
  <si>
    <t xml:space="preserve">36 chars</t>
  </si>
  <si>
    <t xml:space="preserve">End-to-end correlation id.</t>
  </si>
  <si>
    <t xml:space="preserve">Body</t>
  </si>
  <si>
    <t xml:space="preserve">sourceSystem</t>
  </si>
  <si>
    <t xml:space="preserve">^[A-Z0-9-]{3,20}$; registered to the client id</t>
  </si>
  <si>
    <t xml:space="preserve">Selects the policy row and MFT folders.</t>
  </si>
  <si>
    <t xml:space="preserve">businessReference</t>
  </si>
  <si>
    <t xml:space="preserve">max 64</t>
  </si>
  <si>
    <t xml:space="preserve">Business key echoed on events.</t>
  </si>
  <si>
    <t xml:space="preserve">documents</t>
  </si>
  <si>
    <t xml:space="preserve">array</t>
  </si>
  <si>
    <t xml:space="preserve">1 to 10</t>
  </si>
  <si>
    <t xml:space="preserve">One element per file.</t>
  </si>
  <si>
    <t xml:space="preserve">documents[].externalDocumentId</t>
  </si>
  <si>
    <t xml:space="preserve">^[A-Za-z0-9._:-]{1,64}$; unique in request; no live file for sourceSystem</t>
  </si>
  <si>
    <t xml:space="preserve">Consumer's document ID. Required again on the upload call and used by delete.</t>
  </si>
  <si>
    <t xml:space="preserve">documents[].documentName</t>
  </si>
  <si>
    <t xml:space="preserve">1 to 255, no path separators</t>
  </si>
  <si>
    <t xml:space="preserve">Original name; registry only.</t>
  </si>
  <si>
    <t xml:space="preserve">documents[].fileSizeBytes</t>
  </si>
  <si>
    <t xml:space="preserve">integer</t>
  </si>
  <si>
    <t xml:space="preserve">1 to 104857600</t>
  </si>
  <si>
    <t xml:space="preserve">Exact size; signed into the URL.</t>
  </si>
  <si>
    <t xml:space="preserve">documents[].mimeType</t>
  </si>
  <si>
    <t xml:space="preserve">policy allowedMimeTypes</t>
  </si>
  <si>
    <t xml:space="preserve">Declared type.</t>
  </si>
  <si>
    <t xml:space="preserve">documents[].checksumSha256</t>
  </si>
  <si>
    <t xml:space="preserve">string (base64)</t>
  </si>
  <si>
    <t xml:space="preserve">44 chars</t>
  </si>
  <si>
    <t xml:space="preserve">SHA-256 of the file; signed into the URL.</t>
  </si>
  <si>
    <t xml:space="preserve">documents[].documentType</t>
  </si>
  <si>
    <t xml:space="preserve">policy code</t>
  </si>
  <si>
    <t xml:space="preserve">Selects a policy override.</t>
  </si>
  <si>
    <t xml:space="preserve">Present</t>
  </si>
  <si>
    <t xml:space="preserve">fileCollectionId</t>
  </si>
  <si>
    <t xml:space="preserve">Always</t>
  </si>
  <si>
    <t xml:space="preserve">One per call.</t>
  </si>
  <si>
    <t xml:space="preserve">Echo.</t>
  </si>
  <si>
    <t xml:space="preserve">status / createdAt / expiresAt</t>
  </si>
  <si>
    <t xml:space="preserve">enum / date-time</t>
  </si>
  <si>
    <t xml:space="preserve">PENDING_UPLOAD; expiresAt = createdAt + 900 s.</t>
  </si>
  <si>
    <t xml:space="preserve">acceptedCount / rejectedCount</t>
  </si>
  <si>
    <t xml:space="preserve">Counts of files[].</t>
  </si>
  <si>
    <t xml:space="preserve">files[].externalDocumentId</t>
  </si>
  <si>
    <t xml:space="preserve">Echo; match on this, not array order.</t>
  </si>
  <si>
    <t xml:space="preserve">files[].fileId</t>
  </si>
  <si>
    <t xml:space="preserve">Accepted</t>
  </si>
  <si>
    <t xml:space="preserve">Boomi file id; part of the URL path.</t>
  </si>
  <si>
    <t xml:space="preserve">files[].status</t>
  </si>
  <si>
    <t xml:space="preserve">enum</t>
  </si>
  <si>
    <t xml:space="preserve">URL_ISSUED or REJECTED.</t>
  </si>
  <si>
    <t xml:space="preserve">files[].upload.method / url / expiresAt</t>
  </si>
  <si>
    <t xml:space="preserve">PUT, presigned URL (expires, kid, sig), expiry.</t>
  </si>
  <si>
    <t xml:space="preserve">files[].upload.requiredHeaders</t>
  </si>
  <si>
    <t xml:space="preserve">object</t>
  </si>
  <si>
    <t xml:space="preserve">Headers the upload call must send, including X-External-Document-ID and Content-Digest.</t>
  </si>
  <si>
    <t xml:space="preserve">files[].rejection.code / detail</t>
  </si>
  <si>
    <t xml:space="preserve">Rejected</t>
  </si>
  <si>
    <t xml:space="preserve">FILE_TOO_LARGE, FILE_EMPTY, MIME_TYPE_NOT_ALLOWED, NAME_INVALID.</t>
  </si>
  <si>
    <t xml:space="preserve">Status</t>
  </si>
  <si>
    <t xml:space="preserve">code</t>
  </si>
  <si>
    <t xml:space="preserve">When</t>
  </si>
  <si>
    <t xml:space="preserve">Retry</t>
  </si>
  <si>
    <t xml:space="preserve">400</t>
  </si>
  <si>
    <t xml:space="preserve">INVALID_REQUEST</t>
  </si>
  <si>
    <t xml:space="preserve">Schema failure, duplicate externalDocumentId in the request, or correlation id mismatch.</t>
  </si>
  <si>
    <t xml:space="preserve">401</t>
  </si>
  <si>
    <t xml:space="preserve">UNAUTHENTICATED</t>
  </si>
  <si>
    <t xml:space="preserve">Missing or invalid token.</t>
  </si>
  <si>
    <t xml:space="preserve">After new token</t>
  </si>
  <si>
    <t xml:space="preserve">403</t>
  </si>
  <si>
    <t xml:space="preserve">SOURCE_SYSTEM_NOT_PERMITTED</t>
  </si>
  <si>
    <t xml:space="preserve">Client not registered for sourceSystem or missing scope.</t>
  </si>
  <si>
    <t xml:space="preserve">409</t>
  </si>
  <si>
    <t xml:space="preserve">IDEMPOTENCY_KEY_REUSED</t>
  </si>
  <si>
    <t xml:space="preserve">Same key, different body.</t>
  </si>
  <si>
    <t xml:space="preserve">EXTERNAL_ID_IN_USE</t>
  </si>
  <si>
    <t xml:space="preserve">externalDocumentId has a live file (URL_ISSUED to AVAILABLE).</t>
  </si>
  <si>
    <t xml:space="preserve">After delete or expiry</t>
  </si>
  <si>
    <t xml:space="preserve">422</t>
  </si>
  <si>
    <t xml:space="preserve">TOO_MANY_DOCUMENTS / NO_DOCUMENTS_ACCEPTED</t>
  </si>
  <si>
    <t xml:space="preserve">More than 10 documents, or every document rejected.</t>
  </si>
  <si>
    <t xml:space="preserve">429</t>
  </si>
  <si>
    <t xml:space="preserve">RATE_LIMITED</t>
  </si>
  <si>
    <t xml:space="preserve">Quota exceeded; Retry-After returned.</t>
  </si>
  <si>
    <t xml:space="preserve">500 / 503</t>
  </si>
  <si>
    <t xml:space="preserve">INTERNAL_ERROR / DEPENDENCY_UNAVAILABLE</t>
  </si>
  <si>
    <t xml:space="preserve">Nothing committed.</t>
  </si>
  <si>
    <t xml:space="preserve">Yes, same Idempotency-Key</t>
  </si>
  <si>
    <t xml:space="preserve">X-External-Document-ID</t>
  </si>
  <si>
    <t xml:space="preserve">Must equal the document the URL was issued for</t>
  </si>
  <si>
    <t xml:space="preserve">The document ID requirement. Part of the signature.</t>
  </si>
  <si>
    <t xml:space="preserve">Declared mimeType</t>
  </si>
  <si>
    <t xml:space="preserve">Content-Length</t>
  </si>
  <si>
    <t xml:space="preserve">Must equal fileSizeBytes</t>
  </si>
  <si>
    <t xml:space="preserve">Chunked transfer encoding is not accepted.</t>
  </si>
  <si>
    <t xml:space="preserve">Content-Digest</t>
  </si>
  <si>
    <t xml:space="preserve">sha-256=:&lt;base64&gt;: (RFC 9530)</t>
  </si>
  <si>
    <t xml:space="preserve">Must equal the signed checksumSha256.</t>
  </si>
  <si>
    <t xml:space="preserve">If present must equal the generate call's correlationId</t>
  </si>
  <si>
    <t xml:space="preserve">Query: expires, kid, sig</t>
  </si>
  <si>
    <t xml:space="preserve">As issued; do not change</t>
  </si>
  <si>
    <t xml:space="preserve">Expiry (epoch seconds), key id, signature.</t>
  </si>
  <si>
    <t xml:space="preserve">(body)</t>
  </si>
  <si>
    <t xml:space="preserve">binary</t>
  </si>
  <si>
    <t xml:space="preserve">Exactly fileSizeBytes bytes</t>
  </si>
  <si>
    <t xml:space="preserve">The file content, sent as is.</t>
  </si>
  <si>
    <t xml:space="preserve">fileId / externalDocumentId / fileCollectionId</t>
  </si>
  <si>
    <t xml:space="preserve">Identifiers of the uploaded file.</t>
  </si>
  <si>
    <t xml:space="preserve">From the generate call.</t>
  </si>
  <si>
    <t xml:space="preserve">status</t>
  </si>
  <si>
    <t xml:space="preserve">UPLOADED (scan pending; outcome by event).</t>
  </si>
  <si>
    <t xml:space="preserve">receivedBytes / checksumSha256</t>
  </si>
  <si>
    <t xml:space="preserve">integer / string</t>
  </si>
  <si>
    <t xml:space="preserve">What Boomi received and verified.</t>
  </si>
  <si>
    <t xml:space="preserve">receivedAt</t>
  </si>
  <si>
    <t xml:space="preserve">date-time</t>
  </si>
  <si>
    <t xml:space="preserve">Time written to MFT.</t>
  </si>
  <si>
    <t xml:space="preserve">DOCUMENT_ID_MISSING / DOCUMENT_ID_MISMATCH</t>
  </si>
  <si>
    <t xml:space="preserve">Header absent, or not the document this URL was issued for.</t>
  </si>
  <si>
    <t xml:space="preserve">With the correct ID</t>
  </si>
  <si>
    <t xml:space="preserve">SIZE_MISMATCH</t>
  </si>
  <si>
    <t xml:space="preserve">Content-Length differs from the signed size.</t>
  </si>
  <si>
    <t xml:space="preserve">SIGNATURE_INVALID</t>
  </si>
  <si>
    <t xml:space="preserve">URL altered or signed with an unknown key.</t>
  </si>
  <si>
    <t xml:space="preserve">URL_ALREADY_USED</t>
  </si>
  <si>
    <t xml:space="preserve">The URL has already been used.</t>
  </si>
  <si>
    <t xml:space="preserve">410</t>
  </si>
  <si>
    <t xml:space="preserve">URL_EXPIRED / URL_REVOKED</t>
  </si>
  <si>
    <t xml:space="preserve">Expired, or the file was deleted through API 3.</t>
  </si>
  <si>
    <t xml:space="preserve">Generate a new URL</t>
  </si>
  <si>
    <t xml:space="preserve">413</t>
  </si>
  <si>
    <t xml:space="preserve">PAYLOAD_TOO_LARGE</t>
  </si>
  <si>
    <t xml:space="preserve">Body above the gateway limit.</t>
  </si>
  <si>
    <t xml:space="preserve">CHECKSUM_MISMATCH</t>
  </si>
  <si>
    <t xml:space="preserve">Received bytes do not match the signed SHA-256.</t>
  </si>
  <si>
    <t xml:space="preserve">Yes, same URL until expiry</t>
  </si>
  <si>
    <t xml:space="preserve">502</t>
  </si>
  <si>
    <t xml:space="preserve">MFT_WRITE_FAILED</t>
  </si>
  <si>
    <t xml:space="preserve">SFTP write to MFT failed; state reset.</t>
  </si>
  <si>
    <t xml:space="preserve">Scope file-transfer.file.delete.</t>
  </si>
  <si>
    <t xml:space="preserve">Kept 24 h</t>
  </si>
  <si>
    <t xml:space="preserve">Replay returns the stored response.</t>
  </si>
  <si>
    <t xml:space="preserve">Correlation id for this delete.</t>
  </si>
  <si>
    <t xml:space="preserve">Must be registered to the client id</t>
  </si>
  <si>
    <t xml:space="preserve">Checked against the token; scopes the lookup.</t>
  </si>
  <si>
    <t xml:space="preserve">externalDocumentId</t>
  </si>
  <si>
    <t xml:space="preserve">As used in API 1</t>
  </si>
  <si>
    <t xml:space="preserve">The delete key (B-13).</t>
  </si>
  <si>
    <t xml:space="preserve">documentName</t>
  </si>
  <si>
    <t xml:space="preserve">Must equal the recorded name</t>
  </si>
  <si>
    <t xml:space="preserve">Guard.</t>
  </si>
  <si>
    <t xml:space="preserve">fileSizeBytes</t>
  </si>
  <si>
    <t xml:space="preserve">Must equal the recorded size</t>
  </si>
  <si>
    <t xml:space="preserve">reason</t>
  </si>
  <si>
    <t xml:space="preserve">max 256</t>
  </si>
  <si>
    <t xml:space="preserve">Free text; carried on file_deleted.</t>
  </si>
  <si>
    <t xml:space="preserve">externalDocumentId / fileId</t>
  </si>
  <si>
    <t xml:space="preserve">The resolved file.</t>
  </si>
  <si>
    <t xml:space="preserve">outcome</t>
  </si>
  <si>
    <t xml:space="preserve">DELETED, DELETE_PENDING (202) or ALREADY_REMOVED.</t>
  </si>
  <si>
    <t xml:space="preserve">previousStatus</t>
  </si>
  <si>
    <t xml:space="preserve">State before the call.</t>
  </si>
  <si>
    <t xml:space="preserve">deletedAt / detail</t>
  </si>
  <si>
    <t xml:space="preserve">date-time / string</t>
  </si>
  <si>
    <t xml:space="preserve">When relevant</t>
  </si>
  <si>
    <t xml:space="preserve">Time of deletion, or what happens next for DELETE_PENDING.</t>
  </si>
  <si>
    <t xml:space="preserve">Schema failure or correlation id mismatch.</t>
  </si>
  <si>
    <t xml:space="preserve">sourceSystem not registered to the client.</t>
  </si>
  <si>
    <t xml:space="preserve">404</t>
  </si>
  <si>
    <t xml:space="preserve">FILE_NOT_FOUND</t>
  </si>
  <si>
    <t xml:space="preserve">No record for sourceSystem and externalDocumentId.</t>
  </si>
  <si>
    <t xml:space="preserve">DOCUMENT_MISMATCH</t>
  </si>
  <si>
    <t xml:space="preserve">documentName or fileSizeBytes differ from the record; nothing deleted.</t>
  </si>
  <si>
    <t xml:space="preserve">With correct details</t>
  </si>
  <si>
    <t xml:space="preserve">Quota exceeded.</t>
  </si>
  <si>
    <t xml:space="preserve">MFT_DELETE_FAILED</t>
  </si>
  <si>
    <t xml:space="preserve">SFTP delete failed; state unchanged.</t>
  </si>
  <si>
    <t xml:space="preserve">Registry state found</t>
  </si>
  <si>
    <t xml:space="preserve">Response</t>
  </si>
  <si>
    <t xml:space="preserve">Effect</t>
  </si>
  <si>
    <t xml:space="preserve">No record for sourceSystem + externalDocumentId</t>
  </si>
  <si>
    <t xml:space="preserve">404 FILE_NOT_FOUND</t>
  </si>
  <si>
    <t xml:space="preserve">None</t>
  </si>
  <si>
    <t xml:space="preserve">documentName or fileSizeBytes differ from the record</t>
  </si>
  <si>
    <t xml:space="preserve">409 DOCUMENT_MISMATCH</t>
  </si>
  <si>
    <t xml:space="preserve">DELETED, EXPIRED, QUARANTINED or REJECTED</t>
  </si>
  <si>
    <t xml:space="preserve">200 outcome ALREADY_REMOVED</t>
  </si>
  <si>
    <t xml:space="preserve">None (idempotent)</t>
  </si>
  <si>
    <t xml:space="preserve">URL_ISSUED</t>
  </si>
  <si>
    <t xml:space="preserve">200 outcome DELETED</t>
  </si>
  <si>
    <t xml:space="preserve">URL revoked; file_deleted (reason REQUESTED)</t>
  </si>
  <si>
    <t xml:space="preserve">UPLOADING or UPLOADED</t>
  </si>
  <si>
    <t xml:space="preserve">202 outcome DELETE_PENDING</t>
  </si>
  <si>
    <t xml:space="preserve">Deleted when the upload or scan completes; file_deleted then</t>
  </si>
  <si>
    <t xml:space="preserve">AVAILABLE</t>
  </si>
  <si>
    <t xml:space="preserve">SFTP Delete of /available/{sourceSystem}/{fileId}.bin; file_deleted</t>
  </si>
  <si>
    <t xml:space="preserve">Identifier</t>
  </si>
  <si>
    <t xml:space="preserve">Issued by</t>
  </si>
  <si>
    <t xml:space="preserve">Scope</t>
  </si>
  <si>
    <t xml:space="preserve">Consumer</t>
  </si>
  <si>
    <t xml:space="preserve">Per call</t>
  </si>
  <si>
    <t xml:space="preserve">On every log line, registry row and event.</t>
  </si>
  <si>
    <t xml:space="preserve">Per document</t>
  </si>
  <si>
    <t xml:space="preserve">Consumer key: in the generate request, required as X-External-Document-ID on the upload, signed into the URL, and the delete key.</t>
  </si>
  <si>
    <t xml:space="preserve">P01</t>
  </si>
  <si>
    <t xml:space="preserve">Per generate call</t>
  </si>
  <si>
    <t xml:space="preserve">Groups the documents of one call.</t>
  </si>
  <si>
    <t xml:space="preserve">fileId</t>
  </si>
  <si>
    <t xml:space="preserve">Per accepted document</t>
  </si>
  <si>
    <t xml:space="preserve">Upload URL path segment and MFT file name ({fileId}.bin); resolves back to externalDocumentId.</t>
  </si>
  <si>
    <t xml:space="preserve">mftFileCode</t>
  </si>
  <si>
    <t xml:space="preserve">Boomi MFT</t>
  </si>
  <si>
    <t xml:space="preserve">Per file after scan</t>
  </si>
  <si>
    <t xml:space="preserve">MFT's identifier, read from the audit record and stored.</t>
  </si>
  <si>
    <t xml:space="preserve">State</t>
  </si>
  <si>
    <t xml:space="preserve">Set by</t>
  </si>
  <si>
    <t xml:space="preserve">Meaning</t>
  </si>
  <si>
    <t xml:space="preserve">URL issued, no bytes yet.</t>
  </si>
  <si>
    <t xml:space="preserve">UPLOADING</t>
  </si>
  <si>
    <t xml:space="preserve">P02</t>
  </si>
  <si>
    <t xml:space="preserve">Upload call in progress (URL now used).</t>
  </si>
  <si>
    <t xml:space="preserve">UPLOADED</t>
  </si>
  <si>
    <t xml:space="preserve">File written to /inbound on the MFT SFTP server; MFT scan pending.</t>
  </si>
  <si>
    <t xml:space="preserve">P03</t>
  </si>
  <si>
    <t xml:space="preserve">Clean file held in /available until deleted or the hold period ends.</t>
  </si>
  <si>
    <t xml:space="preserve">QUARANTINED</t>
  </si>
  <si>
    <t xml:space="preserve">Blocked by MFT anti virus or rules. Terminal.</t>
  </si>
  <si>
    <t xml:space="preserve">DELETE_PENDING</t>
  </si>
  <si>
    <t xml:space="preserve">P04</t>
  </si>
  <si>
    <t xml:space="preserve">Delete requested while UPLOADING or UPLOADED; P02 or P03 completes it.</t>
  </si>
  <si>
    <t xml:space="preserve">DELETED</t>
  </si>
  <si>
    <t xml:space="preserve">P04, P05, P03</t>
  </si>
  <si>
    <t xml:space="preserve">File removed from MFT (requested or hold period ended). Terminal.</t>
  </si>
  <si>
    <t xml:space="preserve">EXPIRED</t>
  </si>
  <si>
    <t xml:space="preserve">P05</t>
  </si>
  <si>
    <t xml:space="preserve">URL not used before expiry. Terminal.</t>
  </si>
  <si>
    <t xml:space="preserve">REJECTED</t>
  </si>
  <si>
    <t xml:space="preserve">Failed policy at generate time; no URL. Terminal.</t>
  </si>
  <si>
    <t xml:space="preserve">Event</t>
  </si>
  <si>
    <t xml:space="preserve">Emitted when</t>
  </si>
  <si>
    <t xml:space="preserve">Data fields</t>
  </si>
  <si>
    <t xml:space="preserve">document_upload_requested</t>
  </si>
  <si>
    <t xml:space="preserve">URLs issued (P01)</t>
  </si>
  <si>
    <t xml:space="preserve">fileCollectionId, sourceSystem, businessReference, expiresAt, files[]{fileId, externalDocumentId, documentName, fileSizeBytes, mimeType}</t>
  </si>
  <si>
    <t xml:space="preserve">file_upload_received</t>
  </si>
  <si>
    <t xml:space="preserve">File written to MFT /inbound (P02)</t>
  </si>
  <si>
    <t xml:space="preserve">fileCollectionId, fileId, externalDocumentId, mftPath, fileSizeBytes, checksumSha256</t>
  </si>
  <si>
    <t xml:space="preserve">file_upload_succeeded</t>
  </si>
  <si>
    <t xml:space="preserve">MFT scan clean, file in /available (P03)</t>
  </si>
  <si>
    <t xml:space="preserve">fileCollectionId, fileId, externalDocumentId, mftFileCode, mftPath, holdUntil</t>
  </si>
  <si>
    <t xml:space="preserve">file_upload_failed</t>
  </si>
  <si>
    <t xml:space="preserve">MFT blocked the file (P03)</t>
  </si>
  <si>
    <t xml:space="preserve">fileCollectionId, fileId, externalDocumentId, mftFileCode, reasonCode (AV_INFECTED, TYPE_MISMATCH, MFT_TRANSFER_FAILED)</t>
  </si>
  <si>
    <t xml:space="preserve">file_upload_expired</t>
  </si>
  <si>
    <t xml:space="preserve">URL not used in time (P05)</t>
  </si>
  <si>
    <t xml:space="preserve">fileCollectionId, fileId, externalDocumentId, expiresAt</t>
  </si>
  <si>
    <t xml:space="preserve">file_deleted</t>
  </si>
  <si>
    <t xml:space="preserve">File removed (P04, P05, P03)</t>
  </si>
  <si>
    <t xml:space="preserve">fileCollectionId, fileId, externalDocumentId, reason (REQUESTED, HOLD_PERIOD_ENDED), requestReason, previousStatus</t>
  </si>
  <si>
    <t xml:space="preserve">Setting</t>
  </si>
  <si>
    <t xml:space="preserve">Default</t>
  </si>
  <si>
    <t xml:space="preserve">Notes</t>
  </si>
  <si>
    <t xml:space="preserve">maxDocumentsPerRequest</t>
  </si>
  <si>
    <t xml:space="preserve">10</t>
  </si>
  <si>
    <t xml:space="preserve">Upper bound on documents[] in one generate call.</t>
  </si>
  <si>
    <t xml:space="preserve">maxFileSizeBytes</t>
  </si>
  <si>
    <t xml:space="preserve">104857600 (100 MiB)</t>
  </si>
  <si>
    <t xml:space="preserve">Every byte passes through the gateway and the Molecule (B-07). Larger files wait for D-03.</t>
  </si>
  <si>
    <t xml:space="preserve">urlTtlSeconds</t>
  </si>
  <si>
    <t xml:space="preserve">900</t>
  </si>
  <si>
    <t xml:space="preserve">Lifetime of each presigned URL. A URL works once.</t>
  </si>
  <si>
    <t xml:space="preserve">holdPeriodHours</t>
  </si>
  <si>
    <t xml:space="preserve">72</t>
  </si>
  <si>
    <t xml:space="preserve">How long a clean file stays on the MFT SFTP server before the sweep deletes it (temporary hosting).</t>
  </si>
  <si>
    <t xml:space="preserve">allowedMimeTypes</t>
  </si>
  <si>
    <t xml:space="preserve">application/pdf, image/jpeg, image/png, image/tiff, text/csv, .docx, .xlsx MIME types</t>
  </si>
  <si>
    <t xml:space="preserve">Declared type is checked at generate time; MFT rules re-check on scan.</t>
  </si>
  <si>
    <t xml:space="preserve">mftInboundPath</t>
  </si>
  <si>
    <t xml:space="preserve">/inbound/{sourceSystem}/</t>
  </si>
  <si>
    <t xml:space="preserve">MFT SFTP server path Boomi writes to (MFT source flow endpoint).</t>
  </si>
  <si>
    <t xml:space="preserve">mftAvailablePath</t>
  </si>
  <si>
    <t xml:space="preserve">/available/{sourceSystem}/</t>
  </si>
  <si>
    <t xml:space="preserve">MFT SFTP server path that holds clean files (MFT target flow endpoint).</t>
  </si>
  <si>
    <t xml:space="preserve">mftFlowCode</t>
  </si>
  <si>
    <t xml:space="preserve">FT-HOLD-{sourceSystem}</t>
  </si>
  <si>
    <t xml:space="preserve">Flow: trigger file, anti virus, move inbound to available.</t>
  </si>
  <si>
    <t xml:space="preserve">signingKeyId</t>
  </si>
  <si>
    <t xml:space="preserve">k2026-10</t>
  </si>
  <si>
    <t xml:space="preserve">Active HMAC key id; the previous key stays valid for verification during rotation.</t>
  </si>
  <si>
    <t xml:space="preserve">Component</t>
  </si>
  <si>
    <t xml:space="preserve">Boomi capability</t>
  </si>
  <si>
    <t xml:space="preserve">Responsibility</t>
  </si>
  <si>
    <t xml:space="preserve">API proxy</t>
  </si>
  <si>
    <t xml:space="preserve">Boomi API Management</t>
  </si>
  <si>
    <t xml:space="preserve">POST /generate_presignedurl and POST /delete_file (OAuth2 client credentials); PUT /uploads/{fileId} (no OAuth, URL is the credential).</t>
  </si>
  <si>
    <t xml:space="preserve">P01 Generate Presigned URL</t>
  </si>
  <si>
    <t xml:space="preserve">Boomi process (API Service)</t>
  </si>
  <si>
    <t xml:space="preserve">Idempotency, policy checks, fileId, HMAC signing, registry, document_upload_requested.</t>
  </si>
  <si>
    <t xml:space="preserve">P02 Receive Upload</t>
  </si>
  <si>
    <t xml:space="preserve">Boomi process (API Service, streamed body)</t>
  </si>
  <si>
    <t xml:space="preserve">Verify signature, document ID, size and digest; SFTP Write to MFT /inbound plus trigger file; file_upload_received.</t>
  </si>
  <si>
    <t xml:space="preserve">P03 MFT Outcome Reconciler</t>
  </si>
  <si>
    <t xml:space="preserve">Boomi process (scheduled 60 s, single node)</t>
  </si>
  <si>
    <t xml:space="preserve">AuditLog API; set AVAILABLE or QUARANTINED; complete pending deletes; outcome events.</t>
  </si>
  <si>
    <t xml:space="preserve">P04 Delete File</t>
  </si>
  <si>
    <t xml:space="preserve">Resolve externalDocumentId, guard checks, SFTP Delete or pending, file_deleted.</t>
  </si>
  <si>
    <t xml:space="preserve">P05 Sweep</t>
  </si>
  <si>
    <t xml:space="preserve">Boomi process (scheduled 5 min)</t>
  </si>
  <si>
    <t xml:space="preserve">Expire unused URLs; delete files past holdPeriodHours.</t>
  </si>
  <si>
    <t xml:space="preserve">Upload Registry</t>
  </si>
  <si>
    <t xml:space="preserve">Database (Database connector)</t>
  </si>
  <si>
    <t xml:space="preserve">ft_policy, ft_collection, ft_file, ft_idempotency, ft_watermark.</t>
  </si>
  <si>
    <t xml:space="preserve">HMAC signer and verifier</t>
  </si>
  <si>
    <t xml:space="preserve">Groovy Data Process script</t>
  </si>
  <si>
    <t xml:space="preserve">boomi_hmac_presign.groovy (SIGN in P01, VERIFY in P02).</t>
  </si>
  <si>
    <t xml:space="preserve">MFT SFTP Server endpoint</t>
  </si>
  <si>
    <t xml:space="preserve">Hosted storage with /inbound and /available paths; Boomi service user.</t>
  </si>
  <si>
    <t xml:space="preserve">MFT flow FT-HOLD-{sourceSystem}</t>
  </si>
  <si>
    <t xml:space="preserve">Trigger file, anti virus, move inbound to available.</t>
  </si>
  <si>
    <t xml:space="preserve">Topic file-transfer.mft-hold.events</t>
  </si>
  <si>
    <t xml:space="preserve">Boomi Event Streams</t>
  </si>
  <si>
    <t xml:space="preserve">CloudEvents; subscription and dead letter topic per consumer.</t>
  </si>
  <si>
    <t xml:space="preserve">ID</t>
  </si>
  <si>
    <t xml:space="preserve">APIs</t>
  </si>
  <si>
    <t xml:space="preserve">Area</t>
  </si>
  <si>
    <t xml:space="preserve">Assumption</t>
  </si>
  <si>
    <t xml:space="preserve">Impact if wrong</t>
  </si>
  <si>
    <t xml:space="preserve">Source</t>
  </si>
  <si>
    <t xml:space="preserve">Validated (Yes/No)</t>
  </si>
  <si>
    <t xml:space="preserve">Validation note</t>
  </si>
  <si>
    <t xml:space="preserve">B-01</t>
  </si>
  <si>
    <t xml:space="preserve">1,2</t>
  </si>
  <si>
    <t xml:space="preserve">MFT capability</t>
  </si>
  <si>
    <t xml:space="preserve">Boomi MFT has no presigned upload URL: its Content API presigns downloads only, and SFTP is not an HTTP protocol, so no HTTP client can PUT straight onto the MFT SFTP server. The presigned URL is therefore issued by Boomi: an HMAC-signed URL on the API gateway, and the Boomi process writes the bytes to the MFT SFTP server.</t>
  </si>
  <si>
    <t xml:space="preserve">If MFT adds HTTP upload links to a hosted path, the URL could point at MFT directly (D-01).</t>
  </si>
  <si>
    <t xml:space="preserve">Boomi MFT Content API overview</t>
  </si>
  <si>
    <t xml:space="preserve">B-02</t>
  </si>
  <si>
    <t xml:space="preserve">1,2,3</t>
  </si>
  <si>
    <t xml:space="preserve">MFT hosting</t>
  </si>
  <si>
    <t xml:space="preserve">"SFTPS" is read as the MFT SFTP Server endpoint type: MFT hosts the storage and exposes it over SFTP (SSH). If FTPS was meant, the same design applies with the MFT FTPS Server endpoint (explicit mode only) and an FTPS connection (D-02).</t>
  </si>
  <si>
    <t xml:space="preserve">Connector and port change only.</t>
  </si>
  <si>
    <t xml:space="preserve">Boomi MFT endpoint types</t>
  </si>
  <si>
    <t xml:space="preserve">B-03</t>
  </si>
  <si>
    <t xml:space="preserve">2,3</t>
  </si>
  <si>
    <t xml:space="preserve">MFT access</t>
  </si>
  <si>
    <t xml:space="preserve">Boomi connects to the MFT SFTP server as a dedicated MFT user with key authentication and rights limited to write and delete on /inbound and /available for the policy's sourceSystem folders. The key sits in an encrypted environment extension until the PAM route exists (gap G-14).</t>
  </si>
  <si>
    <t xml:space="preserve">Without a service user Boomi cannot write or delete.</t>
  </si>
  <si>
    <t xml:space="preserve">Boomi MFT server endpoints need an MFT user</t>
  </si>
  <si>
    <t xml:space="preserve">B-04</t>
  </si>
  <si>
    <t xml:space="preserve">2</t>
  </si>
  <si>
    <t xml:space="preserve">MFT flow</t>
  </si>
  <si>
    <t xml:space="preserve">One MFT flow per policy row on the same MFT SFTP Server endpoint: source flow endpoint /inbound/{sourceSystem} with Trigger Files and Anti virus, target flow endpoint /available/{sourceSystem}. Clean files are moved to /available; infected files are blocked and audited.</t>
  </si>
  <si>
    <t xml:space="preserve">If source and target cannot share one endpoint, use two MFT SFTP Server endpoints (configuration only).</t>
  </si>
  <si>
    <t xml:space="preserve">Boomi MFT key concepts: flow endpoint types</t>
  </si>
  <si>
    <t xml:space="preserve">B-05</t>
  </si>
  <si>
    <t xml:space="preserve">Connector</t>
  </si>
  <si>
    <t xml:space="preserve">The Boomi SFTP connector (new version) Write operation writes {fileId}.bin and then a zero-byte {fileId}.trg trigger file, so MFT never picks up a partial file. Its Delete operation removes files for API 3 and the hold sweep.</t>
  </si>
  <si>
    <t xml:space="preserve">If trigger files are not supported on the flow, write to a .part name and rely on a regex filter.</t>
  </si>
  <si>
    <t xml:space="preserve">Boomi SFTP operation: Write, Read, List, Listen, Delete</t>
  </si>
  <si>
    <t xml:space="preserve">B-06</t>
  </si>
  <si>
    <t xml:space="preserve">API gateway</t>
  </si>
  <si>
    <t xml:space="preserve">PUT /uploads/{fileId} is published without OAuth because the URL is the credential. Boomi API Management applies TLS, quota, maximum body size and passes the query string and headers through; the HMAC signature is checked in the Boomi process, not in the gateway.</t>
  </si>
  <si>
    <t xml:space="preserve">If the gateway can verify the HMAC itself, the check moves forward and P02 keeps a second check.</t>
  </si>
  <si>
    <t xml:space="preserve">Design choice</t>
  </si>
  <si>
    <t xml:space="preserve">B-07</t>
  </si>
  <si>
    <t xml:space="preserve">Payload size</t>
  </si>
  <si>
    <t xml:space="preserve">The gateway and the Molecule's Web Services Server listener accept request bodies up to 100 MiB and Boomi streams them to disk rather than memory. To be confirmed on the target runtime before go-live.</t>
  </si>
  <si>
    <t xml:space="preserve">Lower the policy maxFileSizeBytes or adopt the D-03 large-file route.</t>
  </si>
  <si>
    <t xml:space="preserve">Must be verified in POC</t>
  </si>
  <si>
    <t xml:space="preserve">B-08</t>
  </si>
  <si>
    <t xml:space="preserve">Signing</t>
  </si>
  <si>
    <t xml:space="preserve">HMAC-SHA256 over a canonical string (method, path, externalDocumentId, size, SHA-256, expiry, key id) with keys identified by kid. Two keys are valid during rotation. Implemented in boomi_hmac_presign.groovy (no SDK); hmac_presign.py is the reference and produced the sample URLs.</t>
  </si>
  <si>
    <t xml:space="preserve">None; the canonical string is fixed by this design.</t>
  </si>
  <si>
    <t xml:space="preserve">Repo assets</t>
  </si>
  <si>
    <t xml:space="preserve">B-09</t>
  </si>
  <si>
    <t xml:space="preserve">The Upload Registry is a relational database reached with the Database connector, not the Boomi Cache shape (node-local on a clustered Molecule). Single use of a URL is enforced with a conditional update URL_ISSUED to UPLOADING.</t>
  </si>
  <si>
    <t xml:space="preserve">Without a shared store, single use, idempotency and delete-by-ID cannot be guaranteed.</t>
  </si>
  <si>
    <t xml:space="preserve">Programme learning</t>
  </si>
  <si>
    <t xml:space="preserve">B-10</t>
  </si>
  <si>
    <t xml:space="preserve">Configuration</t>
  </si>
  <si>
    <t xml:space="preserve">Config over construction: one set of generic processes serves every consumer; a new consumer or document type is a new policy row.</t>
  </si>
  <si>
    <t xml:space="preserve">None.</t>
  </si>
  <si>
    <t xml:space="preserve">Architecture principle</t>
  </si>
  <si>
    <t xml:space="preserve">B-11</t>
  </si>
  <si>
    <t xml:space="preserve">Boomi Event Streams topic file-transfer.mft-hold.events per environment, CloudEvents 1.0 JSON, one subscription and dead letter topic per consumer, at least once delivery.</t>
  </si>
  <si>
    <t xml:space="preserve">If a platform broker is chosen, only the producer connector changes.</t>
  </si>
  <si>
    <t xml:space="preserve">B-12</t>
  </si>
  <si>
    <t xml:space="preserve">MFT outcome</t>
  </si>
  <si>
    <t xml:space="preserve">Boomi learns the scan outcome by polling the MFT AuditLog API every 60 s (single node, watermark in the registry). Fallback: SFTP List of /available. To be proven in the POC.</t>
  </si>
  <si>
    <t xml:space="preserve">Switch to a push route (D-04).</t>
  </si>
  <si>
    <t xml:space="preserve">Boomi MFT AuditLog APIs</t>
  </si>
  <si>
    <t xml:space="preserve">B-13</t>
  </si>
  <si>
    <t xml:space="preserve">3</t>
  </si>
  <si>
    <t xml:space="preserve">Delete key</t>
  </si>
  <si>
    <t xml:space="preserve">The externalDocumentId can be used as the delete key. It is unique among live files for a sourceSystem (generate rejects a duplicate with 409 EXTERNAL_ID_IN_USE), the sourceSystem comes from the caller's client registration so a client can only delete its own files, and therefore one externalDocumentId resolves to exactly one live fileId. documentName and fileSizeBytes in the delete request are guards that must match the registry.</t>
  </si>
  <si>
    <t xml:space="preserve">If externalDocumentId reuse while live must be allowed, the delete request must also carry fileId (D-06).</t>
  </si>
  <si>
    <t xml:space="preserve">B-14</t>
  </si>
  <si>
    <t xml:space="preserve">Delete semantics</t>
  </si>
  <si>
    <t xml:space="preserve">Delete is a physical delete on the MFT SFTP server (SFTP connector Delete). The registry row stays as a tombstone so repeat calls return the same answer; the MFT audit trail is kept by MFT.</t>
  </si>
  <si>
    <t xml:space="preserve">Retention of tombstones is D-07.</t>
  </si>
  <si>
    <t xml:space="preserve">B-15</t>
  </si>
  <si>
    <t xml:space="preserve">API shape</t>
  </si>
  <si>
    <t xml:space="preserve">Delete is exposed as POST /delete_file with a JSON body, in the same style as /generate_presignedurl, because the request carries several match fields and HTTP DELETE bodies have no defined meaning and are often dropped by gateways and proxies.</t>
  </si>
  <si>
    <t xml:space="preserve">A DELETE /files/{externalDocumentId} variant can be added later (D-06).</t>
  </si>
  <si>
    <t xml:space="preserve">RFC 9110 section 9.3.5</t>
  </si>
  <si>
    <t xml:space="preserve">B-16</t>
  </si>
  <si>
    <t xml:space="preserve">Temporary hosting</t>
  </si>
  <si>
    <t xml:space="preserve">A clean file stays on the MFT SFTP server for holdPeriodHours (72) unless deleted earlier; the sweep (P05) then deletes it and emits file_deleted with reason HOLD_PERIOD_ENDED. Collection by downstream systems is out of scope.</t>
  </si>
  <si>
    <t xml:space="preserve">Hold period is D-05.</t>
  </si>
  <si>
    <t xml:space="preserve">Requirement: temporary hosting</t>
  </si>
  <si>
    <t xml:space="preserve">B-17</t>
  </si>
  <si>
    <t xml:space="preserve">Data protection</t>
  </si>
  <si>
    <t xml:space="preserve">documentName never appears in MFT paths, URLs or Boomi logs; paths use fileId only. Signatures and full URLs are never logged.</t>
  </si>
  <si>
    <t xml:space="preserve">Decision needed</t>
  </si>
  <si>
    <t xml:space="preserve">Options</t>
  </si>
  <si>
    <t xml:space="preserve">Recommendation</t>
  </si>
  <si>
    <t xml:space="preserve">Owner role</t>
  </si>
  <si>
    <t xml:space="preserve">Named owner</t>
  </si>
  <si>
    <t xml:space="preserve">Decision and date</t>
  </si>
  <si>
    <t xml:space="preserve">D-01</t>
  </si>
  <si>
    <t xml:space="preserve">How is the presigned upload URL realised for MFT SFTP hosting?</t>
  </si>
  <si>
    <t xml:space="preserve">A: Boomi HMAC URL on the gateway, Boomi writes to MFT SFTP. B: Boomi URL that streams into the MFT Content API upload to the flow endpoint. C: MFT HTTPS endpoint direct, if it supports signed links.</t>
  </si>
  <si>
    <t xml:space="preserve">A. Only option that is fully under Boomi control today and lands the file on the MFT SFTP server as required. B is a drop-in alternative behind the same URL.</t>
  </si>
  <si>
    <t xml:space="preserve">HIP platform architect; design authority</t>
  </si>
  <si>
    <t xml:space="preserve">Open</t>
  </si>
  <si>
    <t xml:space="preserve">D-02</t>
  </si>
  <si>
    <t xml:space="preserve">Does "SFTPS" mean SFTP (SSH) or FTPS (FTP over TLS)?</t>
  </si>
  <si>
    <t xml:space="preserve">MFT SFTP Server or MFT FTPS Server (explicit only).</t>
  </si>
  <si>
    <t xml:space="preserve">SFTP: single port, simpler firewalling, no FTPS multi-channel issues.</t>
  </si>
  <si>
    <t xml:space="preserve">Service owner; network architect</t>
  </si>
  <si>
    <t xml:space="preserve">D-03</t>
  </si>
  <si>
    <t xml:space="preserve">Files above 100 MiB</t>
  </si>
  <si>
    <t xml:space="preserve">Chunked PUTs with Content-Range mapped to MFT Content API upload sessions; or route large files through the S3 landing pattern of IDD-FT-001; or reject.</t>
  </si>
  <si>
    <t xml:space="preserve">Reject until B-07 limits are measured; then chunked uploads up to the 250 MB AV limit (G-15).</t>
  </si>
  <si>
    <t xml:space="preserve">HIP platform architect; security architect</t>
  </si>
  <si>
    <t xml:space="preserve">D-04</t>
  </si>
  <si>
    <t xml:space="preserve">How does Boomi learn the MFT scan outcome?</t>
  </si>
  <si>
    <t xml:space="preserve">Poll AuditLog API; SFTP List of /available; MFT Integration Connector endpoint as target; platform event notifications.</t>
  </si>
  <si>
    <t xml:space="preserve">Poll for MVP, prove a push route in the POC.</t>
  </si>
  <si>
    <t xml:space="preserve">HIP platform architect</t>
  </si>
  <si>
    <t xml:space="preserve">D-05</t>
  </si>
  <si>
    <t xml:space="preserve">Hold period on the MFT SFTP server</t>
  </si>
  <si>
    <t xml:space="preserve">24 h, 72 h, 7 days, or until downstream confirms collection.</t>
  </si>
  <si>
    <t xml:space="preserve">72 h, then delete; confirm with the consuming service.</t>
  </si>
  <si>
    <t xml:space="preserve">Service owner; information asset owner</t>
  </si>
  <si>
    <t xml:space="preserve">D-06</t>
  </si>
  <si>
    <t xml:space="preserve">Delete API shape and key</t>
  </si>
  <si>
    <t xml:space="preserve">POST /delete_file by externalDocumentId (current); DELETE /files/{externalDocumentId}; require fileId as well.</t>
  </si>
  <si>
    <t xml:space="preserve">Keep POST /delete_file keyed on externalDocumentId with name and size guards.</t>
  </si>
  <si>
    <t xml:space="preserve">API platform owner</t>
  </si>
  <si>
    <t xml:space="preserve">D-07</t>
  </si>
  <si>
    <t xml:space="preserve">Retention of registry tombstones and audit</t>
  </si>
  <si>
    <t xml:space="preserve">30, 90 or 365 days.</t>
  </si>
  <si>
    <t xml:space="preserve">90 days, aligned with MFT audit retention; confirm.</t>
  </si>
  <si>
    <t xml:space="preserve">Data protection officer</t>
  </si>
  <si>
    <t xml:space="preserve">D-08</t>
  </si>
  <si>
    <t xml:space="preserve">Delete while MFT is scanning</t>
  </si>
  <si>
    <t xml:space="preserve">Wait for the scan then delete (DELETE_PENDING, current); abort the MFT transfer if the MFT API allows it.</t>
  </si>
  <si>
    <t xml:space="preserve">Wait then delete; the 202 response and file_deleted event tell the caller.</t>
  </si>
  <si>
    <t xml:space="preserve">Design</t>
  </si>
  <si>
    <t xml:space="preserve">Security</t>
  </si>
  <si>
    <t xml:space="preserve">OAuth2 client credentials for generate and delete (scopes file-transfer.upload.request, file-transfer.file.delete); sourceSystem bound to client id; upload URL single use, 900 s, bound to document ID, size and SHA-256; TLS 1.2+; MFT service user with key auth.</t>
  </si>
  <si>
    <t xml:space="preserve">Integrity</t>
  </si>
  <si>
    <t xml:space="preserve">P02 computes SHA-256 of the received body and compares it with the signed checksum and Content-Digest before writing to MFT.</t>
  </si>
  <si>
    <t xml:space="preserve">Performance</t>
  </si>
  <si>
    <t xml:space="preserve">Generate p95 under 500 ms for 10 documents. Upload throughput bounded by gateway and Molecule; measure in POC (B-07).</t>
  </si>
  <si>
    <t xml:space="preserve">Availability</t>
  </si>
  <si>
    <t xml:space="preserve">No partial state: a failed MFT write resets the file to URL_ISSUED so the same URL can be retried until expiry.</t>
  </si>
  <si>
    <t xml:space="preserve">Observability</t>
  </si>
  <si>
    <t xml:space="preserve">correlationId, fileId and externalDocumentId on every execution and event; URLs, signatures and documentName never logged.</t>
  </si>
  <si>
    <t xml:space="preserve">Idempotency</t>
  </si>
  <si>
    <t xml:space="preserve">Idempotency-Key on generate and delete; upload is single use; repeat delete returns the same outcome.</t>
  </si>
  <si>
    <t xml:space="preserve">URL</t>
  </si>
  <si>
    <t xml:space="preserve">Boomi MFT Content API overview (presigned URLs for downloads)</t>
  </si>
  <si>
    <t xml:space="preserve">https://developer.boomi.com/docs/api/content-api-overview</t>
  </si>
  <si>
    <t xml:space="preserve">Uploading files using the MFT Content API</t>
  </si>
  <si>
    <t xml:space="preserve">https://developer.boomi.com/docs/APIs/MFT/AFTRESTAPIs/AFTAPIReference/content-file-upload</t>
  </si>
  <si>
    <t xml:space="preserve">Boomi MFT endpoints (MFT server endpoints need an MFT user)</t>
  </si>
  <si>
    <t xml:space="preserve">https://help.boomi.com/docs/Atomsphere/Integration/MFT/AutomatedFileTransfer/user-guide/organizations/endpoints/</t>
  </si>
  <si>
    <t xml:space="preserve">Boomi MFT key concepts (flow endpoints: trigger files, anti virus)</t>
  </si>
  <si>
    <t xml:space="preserve">https://help.boomi.com/docs/Atomsphere/Integration/MFT/AutomatedFileTransfer/user-guide/key-concepts/</t>
  </si>
  <si>
    <t xml:space="preserve">Boomi SFTP connector operations (Write, Read, List, Listen, Delete)</t>
  </si>
  <si>
    <t xml:space="preserve">https://help.boomi.com/docs/Atomsphere/Integration/Connectors/SFTP_operation</t>
  </si>
  <si>
    <t xml:space="preserve">RFC 9530 Digest Fields (Content-Digest)</t>
  </si>
  <si>
    <t xml:space="preserve">https://www.rfc-editor.org/rfc/rfc9530</t>
  </si>
  <si>
    <t xml:space="preserve">RFC 9110 HTTP Semantics, DELETE</t>
  </si>
  <si>
    <t xml:space="preserve">https://www.rfc-editor.org/rfc/rfc9110#section-9.3.5</t>
  </si>
</sst>
</file>

<file path=xl/styles.xml><?xml version="1.0" encoding="utf-8"?>
<styleSheet xmlns="http://schemas.openxmlformats.org/spreadsheetml/2006/main">
  <numFmts count="2">
    <numFmt numFmtId="164" formatCode="General"/>
    <numFmt numFmtId="165"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1E2A38"/>
        <bgColor rgb="FF333300"/>
      </patternFill>
    </fill>
    <fill>
      <patternFill patternType="solid">
        <fgColor rgb="FFF3F5F8"/>
        <bgColor rgb="FFFFFFFF"/>
      </patternFill>
    </fill>
    <fill>
      <patternFill patternType="solid">
        <fgColor rgb="FFFFF2B3"/>
        <bgColor rgb="FFFFFF99"/>
      </patternFill>
    </fill>
  </fills>
  <borders count="2">
    <border diagonalUp="false" diagonalDown="false">
      <left/>
      <right/>
      <top/>
      <bottom/>
      <diagonal/>
    </border>
    <border diagonalUp="false" diagonalDown="false">
      <left style="thin">
        <color rgb="FFD5DCE3"/>
      </left>
      <right style="thin">
        <color rgb="FFD5DCE3"/>
      </right>
      <top style="thin">
        <color rgb="FFD5DCE3"/>
      </top>
      <bottom style="thin">
        <color rgb="FFD5DC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E2A38"/>
          <bgColor rgb="FF000000"/>
        </patternFill>
      </fill>
    </dxf>
    <dxf>
      <fill>
        <patternFill patternType="solid">
          <fgColor rgb="FFF3F5F8"/>
          <bgColor rgb="FF000000"/>
        </patternFill>
      </fill>
    </dxf>
    <dxf>
      <fill>
        <patternFill patternType="solid">
          <bgColor rgb="FF000000"/>
        </patternFill>
      </fill>
    </dxf>
    <dxf>
      <fill>
        <patternFill patternType="solid">
          <fgColor rgb="FFFFFFFF"/>
          <bgColor rgb="FF000000"/>
        </patternFill>
      </fill>
    </dxf>
    <dxf>
      <fill>
        <patternFill patternType="solid">
          <fgColor rgb="FFFFF2B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B3"/>
      <rgbColor rgb="FFF3F5F8"/>
      <rgbColor rgb="FF660066"/>
      <rgbColor rgb="FFFF8080"/>
      <rgbColor rgb="FF0066CC"/>
      <rgbColor rgb="FFD5DC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E2A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8.xml.rels><?xml version="1.0" encoding="UTF-8"?>
<Relationships xmlns="http://schemas.openxmlformats.org/package/2006/relationships"><Relationship Id="rId1" Type="http://schemas.openxmlformats.org/officeDocument/2006/relationships/drawing" Target="../drawings/drawing17.xml"/>
</Relationships>
</file>

<file path=xl/worksheets/_rels/sheet19.xml.rels><?xml version="1.0" encoding="UTF-8"?>
<Relationships xmlns="http://schemas.openxmlformats.org/package/2006/relationships"><Relationship Id="rId1" Type="http://schemas.openxmlformats.org/officeDocument/2006/relationships/drawing" Target="../drawings/drawing18.xml"/>
</Relationships>
</file>

<file path=xl/worksheets/_rels/sheet20.xml.rels><?xml version="1.0" encoding="UTF-8"?>
<Relationships xmlns="http://schemas.openxmlformats.org/package/2006/relationships"><Relationship Id="rId1" Type="http://schemas.openxmlformats.org/officeDocument/2006/relationships/drawing" Target="../drawings/drawing19.xml"/>
</Relationships>
</file>

<file path=xl/worksheets/_rels/sheet21.xml.rels><?xml version="1.0" encoding="UTF-8"?>
<Relationships xmlns="http://schemas.openxmlformats.org/package/2006/relationships"><Relationship Id="rId1" Type="http://schemas.openxmlformats.org/officeDocument/2006/relationships/drawing" Target="../drawings/drawing2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 min="2" style="0" width="12"/>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row>
    <row r="5" customFormat="false" ht="15" hidden="false" customHeight="false" outlineLevel="0" collapsed="false">
      <c r="A5" s="3" t="s">
        <v>3</v>
      </c>
    </row>
    <row r="6" customFormat="false" ht="15" hidden="false" customHeight="false" outlineLevel="0" collapsed="false">
      <c r="A6" s="2" t="s">
        <v>4</v>
      </c>
    </row>
    <row r="7" customFormat="false" ht="23.85" hidden="false" customHeight="false" outlineLevel="0" collapsed="false">
      <c r="A7" s="2" t="s">
        <v>5</v>
      </c>
    </row>
    <row r="8" customFormat="false" ht="23.85" hidden="false" customHeight="false" outlineLevel="0" collapsed="false">
      <c r="A8" s="2" t="s">
        <v>6</v>
      </c>
    </row>
    <row r="9" customFormat="false" ht="15" hidden="false" customHeight="false" outlineLevel="0" collapsed="false">
      <c r="A9" s="2"/>
    </row>
    <row r="10" customFormat="false" ht="15" hidden="false" customHeight="false" outlineLevel="0" collapsed="false">
      <c r="A10" s="3" t="s">
        <v>7</v>
      </c>
    </row>
    <row r="11" customFormat="false" ht="15" hidden="false" customHeight="false" outlineLevel="0" collapsed="false">
      <c r="A11" s="4" t="s">
        <v>8</v>
      </c>
      <c r="B11" s="5" t="n">
        <f aca="false">COUNTIF('Open decisions'!F:F,"Open")</f>
        <v>8</v>
      </c>
    </row>
    <row r="12" customFormat="false" ht="15" hidden="false" customHeight="false" outlineLevel="0" collapsed="false">
      <c r="A12" s="4" t="s">
        <v>9</v>
      </c>
      <c r="B12" s="5" t="n">
        <f aca="false">COUNTIF('Open decisions'!F:F,"Agreed")</f>
        <v>0</v>
      </c>
    </row>
    <row r="13" customFormat="false" ht="15" hidden="false" customHeight="false" outlineLevel="0" collapsed="false">
      <c r="A13" s="4" t="s">
        <v>10</v>
      </c>
      <c r="B13" s="5" t="n">
        <f aca="false">COUNTIF('Boomi assumptions'!G:G,"Yes")</f>
        <v>0</v>
      </c>
    </row>
    <row r="14" customFormat="false" ht="15" hidden="false" customHeight="false" outlineLevel="0" collapsed="false">
      <c r="A14" s="4" t="s">
        <v>11</v>
      </c>
      <c r="B14" s="5" t="n">
        <f aca="false">COUNTA('Boomi assumptions'!A:A)-1</f>
        <v>17</v>
      </c>
    </row>
    <row r="15" customFormat="false" ht="15" hidden="false" customHeight="false" outlineLevel="0" collapsed="false">
      <c r="A15" s="4" t="s">
        <v>12</v>
      </c>
      <c r="B15" s="5" t="n">
        <f aca="false">COUNTA(Events!A:A)-1</f>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44"/>
    <col collapsed="false" customWidth="true" hidden="false" outlineLevel="0" max="4" min="4" style="0" width="30"/>
    <col collapsed="false" customWidth="true" hidden="false" outlineLevel="0" max="5" min="5" style="0" width="52"/>
  </cols>
  <sheetData>
    <row r="1" customFormat="false" ht="27.75" hidden="false" customHeight="true" outlineLevel="0" collapsed="false">
      <c r="A1" s="6" t="s">
        <v>13</v>
      </c>
      <c r="B1" s="6" t="s">
        <v>14</v>
      </c>
      <c r="C1" s="6" t="s">
        <v>15</v>
      </c>
      <c r="D1" s="6" t="s">
        <v>16</v>
      </c>
      <c r="E1" s="6" t="s">
        <v>17</v>
      </c>
    </row>
    <row r="2" customFormat="false" ht="15" hidden="false" customHeight="false" outlineLevel="0" collapsed="false">
      <c r="A2" s="7" t="s">
        <v>18</v>
      </c>
      <c r="B2" s="7" t="s">
        <v>19</v>
      </c>
      <c r="C2" s="7" t="s">
        <v>20</v>
      </c>
      <c r="D2" s="7" t="s">
        <v>21</v>
      </c>
      <c r="E2" s="7" t="s">
        <v>22</v>
      </c>
    </row>
    <row r="3" customFormat="false" ht="15" hidden="false" customHeight="false" outlineLevel="0" collapsed="false">
      <c r="A3" s="8" t="s">
        <v>23</v>
      </c>
      <c r="B3" s="8" t="s">
        <v>24</v>
      </c>
      <c r="C3" s="8" t="s">
        <v>25</v>
      </c>
      <c r="D3" s="8" t="s">
        <v>26</v>
      </c>
      <c r="E3" s="8" t="s">
        <v>27</v>
      </c>
    </row>
    <row r="4" customFormat="false" ht="15" hidden="false" customHeight="false" outlineLevel="0" collapsed="false">
      <c r="A4" s="7" t="s">
        <v>28</v>
      </c>
      <c r="B4" s="7" t="s">
        <v>19</v>
      </c>
      <c r="C4" s="7" t="s">
        <v>29</v>
      </c>
      <c r="D4" s="7" t="s">
        <v>30</v>
      </c>
      <c r="E4" s="7" t="s">
        <v>31</v>
      </c>
    </row>
  </sheetData>
  <autoFilter ref="A1:E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8"/>
    <col collapsed="false" customWidth="true" hidden="false" outlineLevel="0" max="3" min="3" style="0" width="10"/>
    <col collapsed="false" customWidth="true" hidden="false" outlineLevel="0" max="4" min="4" style="0" width="44"/>
    <col collapsed="false" customWidth="true" hidden="false" outlineLevel="0" max="5" min="5" style="0" width="60"/>
    <col collapsed="false" customWidth="true" hidden="false" outlineLevel="0" max="6" min="6" style="0" width="10"/>
  </cols>
  <sheetData>
    <row r="1" customFormat="false" ht="27.75" hidden="false" customHeight="true" outlineLevel="0" collapsed="false">
      <c r="A1" s="6" t="s">
        <v>32</v>
      </c>
      <c r="B1" s="6" t="s">
        <v>33</v>
      </c>
      <c r="C1" s="6" t="s">
        <v>34</v>
      </c>
      <c r="D1" s="6" t="s">
        <v>35</v>
      </c>
      <c r="E1" s="6" t="s">
        <v>36</v>
      </c>
      <c r="F1" s="6" t="s">
        <v>37</v>
      </c>
    </row>
    <row r="2" customFormat="false" ht="15" hidden="false" customHeight="false" outlineLevel="0" collapsed="false">
      <c r="A2" s="7" t="s">
        <v>38</v>
      </c>
      <c r="B2" s="7" t="s">
        <v>39</v>
      </c>
      <c r="C2" s="7" t="s">
        <v>40</v>
      </c>
      <c r="D2" s="7" t="s">
        <v>41</v>
      </c>
      <c r="E2" s="7" t="s">
        <v>42</v>
      </c>
      <c r="F2" s="7" t="s">
        <v>43</v>
      </c>
    </row>
    <row r="3" customFormat="false" ht="15" hidden="false" customHeight="false" outlineLevel="0" collapsed="false">
      <c r="A3" s="8" t="s">
        <v>44</v>
      </c>
      <c r="B3" s="8" t="s">
        <v>39</v>
      </c>
      <c r="C3" s="8" t="s">
        <v>40</v>
      </c>
      <c r="D3" s="8" t="s">
        <v>45</v>
      </c>
      <c r="E3" s="8"/>
      <c r="F3" s="8" t="s">
        <v>43</v>
      </c>
    </row>
    <row r="4" customFormat="false" ht="15" hidden="false" customHeight="false" outlineLevel="0" collapsed="false">
      <c r="A4" s="7" t="s">
        <v>46</v>
      </c>
      <c r="B4" s="7" t="s">
        <v>47</v>
      </c>
      <c r="C4" s="7" t="s">
        <v>48</v>
      </c>
      <c r="D4" s="7" t="s">
        <v>49</v>
      </c>
      <c r="E4" s="7" t="s">
        <v>50</v>
      </c>
      <c r="F4" s="7" t="s">
        <v>43</v>
      </c>
    </row>
    <row r="5" customFormat="false" ht="23.85" hidden="false" customHeight="false" outlineLevel="0" collapsed="false">
      <c r="A5" s="8" t="s">
        <v>51</v>
      </c>
      <c r="B5" s="8" t="s">
        <v>47</v>
      </c>
      <c r="C5" s="8" t="s">
        <v>40</v>
      </c>
      <c r="D5" s="8" t="s">
        <v>52</v>
      </c>
      <c r="E5" s="8" t="s">
        <v>53</v>
      </c>
      <c r="F5" s="8" t="s">
        <v>43</v>
      </c>
    </row>
    <row r="6" customFormat="false" ht="15" hidden="false" customHeight="false" outlineLevel="0" collapsed="false">
      <c r="A6" s="7" t="s">
        <v>54</v>
      </c>
      <c r="B6" s="7" t="s">
        <v>55</v>
      </c>
      <c r="C6" s="7" t="s">
        <v>40</v>
      </c>
      <c r="D6" s="7" t="s">
        <v>56</v>
      </c>
      <c r="E6" s="7" t="s">
        <v>57</v>
      </c>
      <c r="F6" s="7" t="s">
        <v>58</v>
      </c>
    </row>
    <row r="7" customFormat="false" ht="15" hidden="false" customHeight="false" outlineLevel="0" collapsed="false">
      <c r="A7" s="8" t="s">
        <v>59</v>
      </c>
      <c r="B7" s="8" t="s">
        <v>39</v>
      </c>
      <c r="C7" s="8" t="s">
        <v>40</v>
      </c>
      <c r="D7" s="8" t="s">
        <v>60</v>
      </c>
      <c r="E7" s="8" t="s">
        <v>61</v>
      </c>
      <c r="F7" s="8" t="s">
        <v>58</v>
      </c>
    </row>
    <row r="8" customFormat="false" ht="15" hidden="false" customHeight="false" outlineLevel="0" collapsed="false">
      <c r="A8" s="7" t="s">
        <v>62</v>
      </c>
      <c r="B8" s="7" t="s">
        <v>39</v>
      </c>
      <c r="C8" s="7" t="s">
        <v>48</v>
      </c>
      <c r="D8" s="7" t="s">
        <v>63</v>
      </c>
      <c r="E8" s="7" t="s">
        <v>64</v>
      </c>
      <c r="F8" s="7" t="s">
        <v>58</v>
      </c>
    </row>
    <row r="9" customFormat="false" ht="15" hidden="false" customHeight="false" outlineLevel="0" collapsed="false">
      <c r="A9" s="8" t="s">
        <v>65</v>
      </c>
      <c r="B9" s="8" t="s">
        <v>66</v>
      </c>
      <c r="C9" s="8" t="s">
        <v>40</v>
      </c>
      <c r="D9" s="8" t="s">
        <v>67</v>
      </c>
      <c r="E9" s="8" t="s">
        <v>68</v>
      </c>
      <c r="F9" s="8" t="s">
        <v>58</v>
      </c>
    </row>
    <row r="10" customFormat="false" ht="23.85" hidden="false" customHeight="false" outlineLevel="0" collapsed="false">
      <c r="A10" s="7" t="s">
        <v>69</v>
      </c>
      <c r="B10" s="7" t="s">
        <v>39</v>
      </c>
      <c r="C10" s="7" t="s">
        <v>40</v>
      </c>
      <c r="D10" s="7" t="s">
        <v>70</v>
      </c>
      <c r="E10" s="7" t="s">
        <v>71</v>
      </c>
      <c r="F10" s="7" t="s">
        <v>58</v>
      </c>
    </row>
    <row r="11" customFormat="false" ht="15" hidden="false" customHeight="false" outlineLevel="0" collapsed="false">
      <c r="A11" s="8" t="s">
        <v>72</v>
      </c>
      <c r="B11" s="8" t="s">
        <v>39</v>
      </c>
      <c r="C11" s="8" t="s">
        <v>40</v>
      </c>
      <c r="D11" s="8" t="s">
        <v>73</v>
      </c>
      <c r="E11" s="8" t="s">
        <v>74</v>
      </c>
      <c r="F11" s="8" t="s">
        <v>58</v>
      </c>
    </row>
    <row r="12" customFormat="false" ht="15" hidden="false" customHeight="false" outlineLevel="0" collapsed="false">
      <c r="A12" s="7" t="s">
        <v>75</v>
      </c>
      <c r="B12" s="7" t="s">
        <v>76</v>
      </c>
      <c r="C12" s="7" t="s">
        <v>40</v>
      </c>
      <c r="D12" s="7" t="s">
        <v>77</v>
      </c>
      <c r="E12" s="7" t="s">
        <v>78</v>
      </c>
      <c r="F12" s="7" t="s">
        <v>58</v>
      </c>
    </row>
    <row r="13" customFormat="false" ht="15" hidden="false" customHeight="false" outlineLevel="0" collapsed="false">
      <c r="A13" s="8" t="s">
        <v>79</v>
      </c>
      <c r="B13" s="8" t="s">
        <v>39</v>
      </c>
      <c r="C13" s="8" t="s">
        <v>40</v>
      </c>
      <c r="D13" s="8" t="s">
        <v>80</v>
      </c>
      <c r="E13" s="8" t="s">
        <v>81</v>
      </c>
      <c r="F13" s="8" t="s">
        <v>58</v>
      </c>
    </row>
    <row r="14" customFormat="false" ht="15" hidden="false" customHeight="false" outlineLevel="0" collapsed="false">
      <c r="A14" s="7" t="s">
        <v>82</v>
      </c>
      <c r="B14" s="7" t="s">
        <v>83</v>
      </c>
      <c r="C14" s="7" t="s">
        <v>40</v>
      </c>
      <c r="D14" s="7" t="s">
        <v>84</v>
      </c>
      <c r="E14" s="7" t="s">
        <v>85</v>
      </c>
      <c r="F14" s="7" t="s">
        <v>58</v>
      </c>
    </row>
    <row r="15" customFormat="false" ht="15" hidden="false" customHeight="false" outlineLevel="0" collapsed="false">
      <c r="A15" s="8" t="s">
        <v>86</v>
      </c>
      <c r="B15" s="8" t="s">
        <v>39</v>
      </c>
      <c r="C15" s="8" t="s">
        <v>48</v>
      </c>
      <c r="D15" s="8" t="s">
        <v>87</v>
      </c>
      <c r="E15" s="8" t="s">
        <v>88</v>
      </c>
      <c r="F15" s="8" t="s">
        <v>58</v>
      </c>
    </row>
  </sheetData>
  <autoFilter ref="A1:F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0"/>
    <col collapsed="false" customWidth="true" hidden="false" outlineLevel="0" max="3" min="3" style="0" width="14"/>
    <col collapsed="false" customWidth="true" hidden="false" outlineLevel="0" max="4" min="4" style="0" width="80"/>
  </cols>
  <sheetData>
    <row r="1" customFormat="false" ht="27.75" hidden="false" customHeight="true" outlineLevel="0" collapsed="false">
      <c r="A1" s="6" t="s">
        <v>32</v>
      </c>
      <c r="B1" s="6" t="s">
        <v>33</v>
      </c>
      <c r="C1" s="6" t="s">
        <v>89</v>
      </c>
      <c r="D1" s="6" t="s">
        <v>36</v>
      </c>
    </row>
    <row r="2" customFormat="false" ht="15" hidden="false" customHeight="false" outlineLevel="0" collapsed="false">
      <c r="A2" s="7" t="s">
        <v>90</v>
      </c>
      <c r="B2" s="7" t="s">
        <v>39</v>
      </c>
      <c r="C2" s="7" t="s">
        <v>91</v>
      </c>
      <c r="D2" s="7" t="s">
        <v>92</v>
      </c>
    </row>
    <row r="3" customFormat="false" ht="15" hidden="false" customHeight="false" outlineLevel="0" collapsed="false">
      <c r="A3" s="8" t="s">
        <v>54</v>
      </c>
      <c r="B3" s="8" t="s">
        <v>39</v>
      </c>
      <c r="C3" s="8" t="s">
        <v>91</v>
      </c>
      <c r="D3" s="8" t="s">
        <v>93</v>
      </c>
    </row>
    <row r="4" customFormat="false" ht="15" hidden="false" customHeight="false" outlineLevel="0" collapsed="false">
      <c r="A4" s="7" t="s">
        <v>94</v>
      </c>
      <c r="B4" s="7" t="s">
        <v>95</v>
      </c>
      <c r="C4" s="7" t="s">
        <v>91</v>
      </c>
      <c r="D4" s="7" t="s">
        <v>96</v>
      </c>
    </row>
    <row r="5" customFormat="false" ht="15" hidden="false" customHeight="false" outlineLevel="0" collapsed="false">
      <c r="A5" s="8" t="s">
        <v>97</v>
      </c>
      <c r="B5" s="8" t="s">
        <v>76</v>
      </c>
      <c r="C5" s="8" t="s">
        <v>91</v>
      </c>
      <c r="D5" s="8" t="s">
        <v>98</v>
      </c>
    </row>
    <row r="6" customFormat="false" ht="15" hidden="false" customHeight="false" outlineLevel="0" collapsed="false">
      <c r="A6" s="7" t="s">
        <v>99</v>
      </c>
      <c r="B6" s="7" t="s">
        <v>39</v>
      </c>
      <c r="C6" s="7" t="s">
        <v>91</v>
      </c>
      <c r="D6" s="7" t="s">
        <v>100</v>
      </c>
    </row>
    <row r="7" customFormat="false" ht="15" hidden="false" customHeight="false" outlineLevel="0" collapsed="false">
      <c r="A7" s="8" t="s">
        <v>101</v>
      </c>
      <c r="B7" s="8" t="s">
        <v>39</v>
      </c>
      <c r="C7" s="8" t="s">
        <v>102</v>
      </c>
      <c r="D7" s="8" t="s">
        <v>103</v>
      </c>
    </row>
    <row r="8" customFormat="false" ht="15" hidden="false" customHeight="false" outlineLevel="0" collapsed="false">
      <c r="A8" s="7" t="s">
        <v>104</v>
      </c>
      <c r="B8" s="7" t="s">
        <v>105</v>
      </c>
      <c r="C8" s="7" t="s">
        <v>91</v>
      </c>
      <c r="D8" s="7" t="s">
        <v>106</v>
      </c>
    </row>
    <row r="9" customFormat="false" ht="15" hidden="false" customHeight="false" outlineLevel="0" collapsed="false">
      <c r="A9" s="8" t="s">
        <v>107</v>
      </c>
      <c r="B9" s="8" t="s">
        <v>39</v>
      </c>
      <c r="C9" s="8" t="s">
        <v>102</v>
      </c>
      <c r="D9" s="8" t="s">
        <v>108</v>
      </c>
    </row>
    <row r="10" customFormat="false" ht="15" hidden="false" customHeight="false" outlineLevel="0" collapsed="false">
      <c r="A10" s="7" t="s">
        <v>109</v>
      </c>
      <c r="B10" s="7" t="s">
        <v>110</v>
      </c>
      <c r="C10" s="7" t="s">
        <v>102</v>
      </c>
      <c r="D10" s="7" t="s">
        <v>111</v>
      </c>
    </row>
    <row r="11" customFormat="false" ht="15" hidden="false" customHeight="false" outlineLevel="0" collapsed="false">
      <c r="A11" s="8" t="s">
        <v>112</v>
      </c>
      <c r="B11" s="8" t="s">
        <v>39</v>
      </c>
      <c r="C11" s="8" t="s">
        <v>113</v>
      </c>
      <c r="D11" s="8" t="s">
        <v>114</v>
      </c>
    </row>
  </sheetData>
  <autoFilter ref="A1:D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3" min="3" style="0" width="70"/>
    <col collapsed="false" customWidth="true" hidden="false" outlineLevel="0" max="4" min="4" style="0" width="26"/>
  </cols>
  <sheetData>
    <row r="1" customFormat="false" ht="27.75" hidden="false" customHeight="true" outlineLevel="0" collapsed="false">
      <c r="A1" s="6" t="s">
        <v>115</v>
      </c>
      <c r="B1" s="6" t="s">
        <v>116</v>
      </c>
      <c r="C1" s="6" t="s">
        <v>117</v>
      </c>
      <c r="D1" s="6" t="s">
        <v>118</v>
      </c>
    </row>
    <row r="2" customFormat="false" ht="23.85" hidden="false" customHeight="false" outlineLevel="0" collapsed="false">
      <c r="A2" s="7" t="s">
        <v>119</v>
      </c>
      <c r="B2" s="7" t="s">
        <v>120</v>
      </c>
      <c r="C2" s="7" t="s">
        <v>121</v>
      </c>
      <c r="D2" s="7" t="s">
        <v>48</v>
      </c>
    </row>
    <row r="3" customFormat="false" ht="15" hidden="false" customHeight="false" outlineLevel="0" collapsed="false">
      <c r="A3" s="8" t="s">
        <v>122</v>
      </c>
      <c r="B3" s="8" t="s">
        <v>123</v>
      </c>
      <c r="C3" s="8" t="s">
        <v>124</v>
      </c>
      <c r="D3" s="8" t="s">
        <v>125</v>
      </c>
    </row>
    <row r="4" customFormat="false" ht="15" hidden="false" customHeight="false" outlineLevel="0" collapsed="false">
      <c r="A4" s="7" t="s">
        <v>126</v>
      </c>
      <c r="B4" s="7" t="s">
        <v>127</v>
      </c>
      <c r="C4" s="7" t="s">
        <v>128</v>
      </c>
      <c r="D4" s="7" t="s">
        <v>48</v>
      </c>
    </row>
    <row r="5" customFormat="false" ht="15" hidden="false" customHeight="false" outlineLevel="0" collapsed="false">
      <c r="A5" s="8" t="s">
        <v>129</v>
      </c>
      <c r="B5" s="8" t="s">
        <v>130</v>
      </c>
      <c r="C5" s="8" t="s">
        <v>131</v>
      </c>
      <c r="D5" s="8" t="s">
        <v>48</v>
      </c>
    </row>
    <row r="6" customFormat="false" ht="15" hidden="false" customHeight="false" outlineLevel="0" collapsed="false">
      <c r="A6" s="7" t="s">
        <v>129</v>
      </c>
      <c r="B6" s="7" t="s">
        <v>132</v>
      </c>
      <c r="C6" s="7" t="s">
        <v>133</v>
      </c>
      <c r="D6" s="7" t="s">
        <v>134</v>
      </c>
    </row>
    <row r="7" customFormat="false" ht="23.85" hidden="false" customHeight="false" outlineLevel="0" collapsed="false">
      <c r="A7" s="8" t="s">
        <v>135</v>
      </c>
      <c r="B7" s="8" t="s">
        <v>136</v>
      </c>
      <c r="C7" s="8" t="s">
        <v>137</v>
      </c>
      <c r="D7" s="8" t="s">
        <v>48</v>
      </c>
    </row>
    <row r="8" customFormat="false" ht="15" hidden="false" customHeight="false" outlineLevel="0" collapsed="false">
      <c r="A8" s="7" t="s">
        <v>138</v>
      </c>
      <c r="B8" s="7" t="s">
        <v>139</v>
      </c>
      <c r="C8" s="7" t="s">
        <v>140</v>
      </c>
      <c r="D8" s="7" t="s">
        <v>40</v>
      </c>
    </row>
    <row r="9" customFormat="false" ht="23.85" hidden="false" customHeight="false" outlineLevel="0" collapsed="false">
      <c r="A9" s="8" t="s">
        <v>141</v>
      </c>
      <c r="B9" s="8" t="s">
        <v>142</v>
      </c>
      <c r="C9" s="8" t="s">
        <v>143</v>
      </c>
      <c r="D9" s="8" t="s">
        <v>144</v>
      </c>
    </row>
  </sheetData>
  <autoFilter ref="A1:D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8"/>
    <col collapsed="false" customWidth="true" hidden="false" outlineLevel="0" max="3" min="3" style="0" width="10"/>
    <col collapsed="false" customWidth="true" hidden="false" outlineLevel="0" max="4" min="4" style="0" width="44"/>
    <col collapsed="false" customWidth="true" hidden="false" outlineLevel="0" max="5" min="5" style="0" width="60"/>
    <col collapsed="false" customWidth="true" hidden="false" outlineLevel="0" max="6" min="6" style="0" width="10"/>
  </cols>
  <sheetData>
    <row r="1" customFormat="false" ht="27.75" hidden="false" customHeight="true" outlineLevel="0" collapsed="false">
      <c r="A1" s="6" t="s">
        <v>32</v>
      </c>
      <c r="B1" s="6" t="s">
        <v>33</v>
      </c>
      <c r="C1" s="6" t="s">
        <v>34</v>
      </c>
      <c r="D1" s="6" t="s">
        <v>35</v>
      </c>
      <c r="E1" s="6" t="s">
        <v>36</v>
      </c>
      <c r="F1" s="6" t="s">
        <v>37</v>
      </c>
    </row>
    <row r="2" customFormat="false" ht="15" hidden="false" customHeight="false" outlineLevel="0" collapsed="false">
      <c r="A2" s="7" t="s">
        <v>145</v>
      </c>
      <c r="B2" s="7" t="s">
        <v>39</v>
      </c>
      <c r="C2" s="7" t="s">
        <v>40</v>
      </c>
      <c r="D2" s="7" t="s">
        <v>146</v>
      </c>
      <c r="E2" s="7" t="s">
        <v>147</v>
      </c>
      <c r="F2" s="7" t="s">
        <v>43</v>
      </c>
    </row>
    <row r="3" customFormat="false" ht="15" hidden="false" customHeight="false" outlineLevel="0" collapsed="false">
      <c r="A3" s="8" t="s">
        <v>44</v>
      </c>
      <c r="B3" s="8" t="s">
        <v>39</v>
      </c>
      <c r="C3" s="8" t="s">
        <v>40</v>
      </c>
      <c r="D3" s="8" t="s">
        <v>148</v>
      </c>
      <c r="E3" s="8"/>
      <c r="F3" s="8" t="s">
        <v>43</v>
      </c>
    </row>
    <row r="4" customFormat="false" ht="15" hidden="false" customHeight="false" outlineLevel="0" collapsed="false">
      <c r="A4" s="7" t="s">
        <v>149</v>
      </c>
      <c r="B4" s="7" t="s">
        <v>76</v>
      </c>
      <c r="C4" s="7" t="s">
        <v>40</v>
      </c>
      <c r="D4" s="7" t="s">
        <v>150</v>
      </c>
      <c r="E4" s="7" t="s">
        <v>151</v>
      </c>
      <c r="F4" s="7" t="s">
        <v>43</v>
      </c>
    </row>
    <row r="5" customFormat="false" ht="15" hidden="false" customHeight="false" outlineLevel="0" collapsed="false">
      <c r="A5" s="8" t="s">
        <v>152</v>
      </c>
      <c r="B5" s="8" t="s">
        <v>39</v>
      </c>
      <c r="C5" s="8" t="s">
        <v>40</v>
      </c>
      <c r="D5" s="8" t="s">
        <v>153</v>
      </c>
      <c r="E5" s="8" t="s">
        <v>154</v>
      </c>
      <c r="F5" s="8" t="s">
        <v>43</v>
      </c>
    </row>
    <row r="6" customFormat="false" ht="15" hidden="false" customHeight="false" outlineLevel="0" collapsed="false">
      <c r="A6" s="7" t="s">
        <v>46</v>
      </c>
      <c r="B6" s="7" t="s">
        <v>47</v>
      </c>
      <c r="C6" s="7" t="s">
        <v>48</v>
      </c>
      <c r="D6" s="7" t="s">
        <v>155</v>
      </c>
      <c r="E6" s="7"/>
      <c r="F6" s="7" t="s">
        <v>43</v>
      </c>
    </row>
    <row r="7" customFormat="false" ht="15" hidden="false" customHeight="false" outlineLevel="0" collapsed="false">
      <c r="A7" s="8" t="s">
        <v>156</v>
      </c>
      <c r="B7" s="8" t="s">
        <v>39</v>
      </c>
      <c r="C7" s="8" t="s">
        <v>40</v>
      </c>
      <c r="D7" s="8" t="s">
        <v>157</v>
      </c>
      <c r="E7" s="8" t="s">
        <v>158</v>
      </c>
      <c r="F7" s="8" t="s">
        <v>43</v>
      </c>
    </row>
    <row r="8" customFormat="false" ht="15" hidden="false" customHeight="false" outlineLevel="0" collapsed="false">
      <c r="A8" s="7" t="s">
        <v>159</v>
      </c>
      <c r="B8" s="7" t="s">
        <v>160</v>
      </c>
      <c r="C8" s="7" t="s">
        <v>40</v>
      </c>
      <c r="D8" s="7" t="s">
        <v>161</v>
      </c>
      <c r="E8" s="7" t="s">
        <v>162</v>
      </c>
      <c r="F8" s="7" t="s">
        <v>58</v>
      </c>
    </row>
  </sheetData>
  <autoFilter ref="A1:F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0"/>
    <col collapsed="false" customWidth="true" hidden="false" outlineLevel="0" max="3" min="3" style="0" width="14"/>
    <col collapsed="false" customWidth="true" hidden="false" outlineLevel="0" max="4" min="4" style="0" width="80"/>
  </cols>
  <sheetData>
    <row r="1" customFormat="false" ht="27.75" hidden="false" customHeight="true" outlineLevel="0" collapsed="false">
      <c r="A1" s="6" t="s">
        <v>32</v>
      </c>
      <c r="B1" s="6" t="s">
        <v>33</v>
      </c>
      <c r="C1" s="6" t="s">
        <v>89</v>
      </c>
      <c r="D1" s="6" t="s">
        <v>36</v>
      </c>
    </row>
    <row r="2" customFormat="false" ht="15" hidden="false" customHeight="false" outlineLevel="0" collapsed="false">
      <c r="A2" s="7" t="s">
        <v>163</v>
      </c>
      <c r="B2" s="7" t="s">
        <v>39</v>
      </c>
      <c r="C2" s="7" t="s">
        <v>91</v>
      </c>
      <c r="D2" s="7" t="s">
        <v>164</v>
      </c>
    </row>
    <row r="3" customFormat="false" ht="15" hidden="false" customHeight="false" outlineLevel="0" collapsed="false">
      <c r="A3" s="8" t="s">
        <v>54</v>
      </c>
      <c r="B3" s="8" t="s">
        <v>39</v>
      </c>
      <c r="C3" s="8" t="s">
        <v>91</v>
      </c>
      <c r="D3" s="8" t="s">
        <v>165</v>
      </c>
    </row>
    <row r="4" customFormat="false" ht="15" hidden="false" customHeight="false" outlineLevel="0" collapsed="false">
      <c r="A4" s="7" t="s">
        <v>166</v>
      </c>
      <c r="B4" s="7" t="s">
        <v>105</v>
      </c>
      <c r="C4" s="7" t="s">
        <v>91</v>
      </c>
      <c r="D4" s="7" t="s">
        <v>167</v>
      </c>
    </row>
    <row r="5" customFormat="false" ht="15" hidden="false" customHeight="false" outlineLevel="0" collapsed="false">
      <c r="A5" s="8" t="s">
        <v>168</v>
      </c>
      <c r="B5" s="8" t="s">
        <v>169</v>
      </c>
      <c r="C5" s="8" t="s">
        <v>91</v>
      </c>
      <c r="D5" s="8" t="s">
        <v>170</v>
      </c>
    </row>
    <row r="6" customFormat="false" ht="15" hidden="false" customHeight="false" outlineLevel="0" collapsed="false">
      <c r="A6" s="7" t="s">
        <v>171</v>
      </c>
      <c r="B6" s="7" t="s">
        <v>172</v>
      </c>
      <c r="C6" s="7" t="s">
        <v>91</v>
      </c>
      <c r="D6" s="7" t="s">
        <v>173</v>
      </c>
    </row>
  </sheetData>
  <autoFilter ref="A1:D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3" min="3" style="0" width="70"/>
    <col collapsed="false" customWidth="true" hidden="false" outlineLevel="0" max="4" min="4" style="0" width="26"/>
  </cols>
  <sheetData>
    <row r="1" customFormat="false" ht="27.75" hidden="false" customHeight="true" outlineLevel="0" collapsed="false">
      <c r="A1" s="6" t="s">
        <v>115</v>
      </c>
      <c r="B1" s="6" t="s">
        <v>116</v>
      </c>
      <c r="C1" s="6" t="s">
        <v>117</v>
      </c>
      <c r="D1" s="6" t="s">
        <v>118</v>
      </c>
    </row>
    <row r="2" customFormat="false" ht="23.85" hidden="false" customHeight="false" outlineLevel="0" collapsed="false">
      <c r="A2" s="7" t="s">
        <v>119</v>
      </c>
      <c r="B2" s="7" t="s">
        <v>174</v>
      </c>
      <c r="C2" s="7" t="s">
        <v>175</v>
      </c>
      <c r="D2" s="7" t="s">
        <v>176</v>
      </c>
    </row>
    <row r="3" customFormat="false" ht="15" hidden="false" customHeight="false" outlineLevel="0" collapsed="false">
      <c r="A3" s="8" t="s">
        <v>119</v>
      </c>
      <c r="B3" s="8" t="s">
        <v>177</v>
      </c>
      <c r="C3" s="8" t="s">
        <v>178</v>
      </c>
      <c r="D3" s="8" t="s">
        <v>48</v>
      </c>
    </row>
    <row r="4" customFormat="false" ht="15" hidden="false" customHeight="false" outlineLevel="0" collapsed="false">
      <c r="A4" s="7" t="s">
        <v>126</v>
      </c>
      <c r="B4" s="7" t="s">
        <v>179</v>
      </c>
      <c r="C4" s="7" t="s">
        <v>180</v>
      </c>
      <c r="D4" s="7" t="s">
        <v>48</v>
      </c>
    </row>
    <row r="5" customFormat="false" ht="15" hidden="false" customHeight="false" outlineLevel="0" collapsed="false">
      <c r="A5" s="8" t="s">
        <v>129</v>
      </c>
      <c r="B5" s="8" t="s">
        <v>181</v>
      </c>
      <c r="C5" s="8" t="s">
        <v>182</v>
      </c>
      <c r="D5" s="8" t="s">
        <v>48</v>
      </c>
    </row>
    <row r="6" customFormat="false" ht="15" hidden="false" customHeight="false" outlineLevel="0" collapsed="false">
      <c r="A6" s="7" t="s">
        <v>183</v>
      </c>
      <c r="B6" s="7" t="s">
        <v>184</v>
      </c>
      <c r="C6" s="7" t="s">
        <v>185</v>
      </c>
      <c r="D6" s="7" t="s">
        <v>186</v>
      </c>
    </row>
    <row r="7" customFormat="false" ht="15" hidden="false" customHeight="false" outlineLevel="0" collapsed="false">
      <c r="A7" s="8" t="s">
        <v>187</v>
      </c>
      <c r="B7" s="8" t="s">
        <v>188</v>
      </c>
      <c r="C7" s="8" t="s">
        <v>189</v>
      </c>
      <c r="D7" s="8" t="s">
        <v>48</v>
      </c>
    </row>
    <row r="8" customFormat="false" ht="15" hidden="false" customHeight="false" outlineLevel="0" collapsed="false">
      <c r="A8" s="7" t="s">
        <v>135</v>
      </c>
      <c r="B8" s="7" t="s">
        <v>190</v>
      </c>
      <c r="C8" s="7" t="s">
        <v>191</v>
      </c>
      <c r="D8" s="7" t="s">
        <v>192</v>
      </c>
    </row>
    <row r="9" customFormat="false" ht="15" hidden="false" customHeight="false" outlineLevel="0" collapsed="false">
      <c r="A9" s="8" t="s">
        <v>193</v>
      </c>
      <c r="B9" s="8" t="s">
        <v>194</v>
      </c>
      <c r="C9" s="8" t="s">
        <v>195</v>
      </c>
      <c r="D9" s="8" t="s">
        <v>192</v>
      </c>
    </row>
  </sheetData>
  <autoFilter ref="A1:D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8"/>
    <col collapsed="false" customWidth="true" hidden="false" outlineLevel="0" max="3" min="3" style="0" width="10"/>
    <col collapsed="false" customWidth="true" hidden="false" outlineLevel="0" max="4" min="4" style="0" width="44"/>
    <col collapsed="false" customWidth="true" hidden="false" outlineLevel="0" max="5" min="5" style="0" width="60"/>
    <col collapsed="false" customWidth="true" hidden="false" outlineLevel="0" max="6" min="6" style="0" width="10"/>
  </cols>
  <sheetData>
    <row r="1" customFormat="false" ht="27.75" hidden="false" customHeight="true" outlineLevel="0" collapsed="false">
      <c r="A1" s="6" t="s">
        <v>32</v>
      </c>
      <c r="B1" s="6" t="s">
        <v>33</v>
      </c>
      <c r="C1" s="6" t="s">
        <v>34</v>
      </c>
      <c r="D1" s="6" t="s">
        <v>35</v>
      </c>
      <c r="E1" s="6" t="s">
        <v>36</v>
      </c>
      <c r="F1" s="6" t="s">
        <v>37</v>
      </c>
    </row>
    <row r="2" customFormat="false" ht="15" hidden="false" customHeight="false" outlineLevel="0" collapsed="false">
      <c r="A2" s="7" t="s">
        <v>38</v>
      </c>
      <c r="B2" s="7" t="s">
        <v>39</v>
      </c>
      <c r="C2" s="7" t="s">
        <v>40</v>
      </c>
      <c r="D2" s="7" t="s">
        <v>41</v>
      </c>
      <c r="E2" s="7" t="s">
        <v>196</v>
      </c>
      <c r="F2" s="7" t="s">
        <v>43</v>
      </c>
    </row>
    <row r="3" customFormat="false" ht="15" hidden="false" customHeight="false" outlineLevel="0" collapsed="false">
      <c r="A3" s="8" t="s">
        <v>44</v>
      </c>
      <c r="B3" s="8" t="s">
        <v>39</v>
      </c>
      <c r="C3" s="8" t="s">
        <v>40</v>
      </c>
      <c r="D3" s="8" t="s">
        <v>45</v>
      </c>
      <c r="E3" s="8"/>
      <c r="F3" s="8" t="s">
        <v>43</v>
      </c>
    </row>
    <row r="4" customFormat="false" ht="15" hidden="false" customHeight="false" outlineLevel="0" collapsed="false">
      <c r="A4" s="7" t="s">
        <v>46</v>
      </c>
      <c r="B4" s="7" t="s">
        <v>47</v>
      </c>
      <c r="C4" s="7" t="s">
        <v>48</v>
      </c>
      <c r="D4" s="7" t="s">
        <v>49</v>
      </c>
      <c r="E4" s="7"/>
      <c r="F4" s="7" t="s">
        <v>43</v>
      </c>
    </row>
    <row r="5" customFormat="false" ht="15" hidden="false" customHeight="false" outlineLevel="0" collapsed="false">
      <c r="A5" s="8" t="s">
        <v>51</v>
      </c>
      <c r="B5" s="8" t="s">
        <v>47</v>
      </c>
      <c r="C5" s="8" t="s">
        <v>40</v>
      </c>
      <c r="D5" s="8" t="s">
        <v>197</v>
      </c>
      <c r="E5" s="8" t="s">
        <v>198</v>
      </c>
      <c r="F5" s="8" t="s">
        <v>43</v>
      </c>
    </row>
    <row r="6" customFormat="false" ht="15" hidden="false" customHeight="false" outlineLevel="0" collapsed="false">
      <c r="A6" s="7" t="s">
        <v>54</v>
      </c>
      <c r="B6" s="7" t="s">
        <v>55</v>
      </c>
      <c r="C6" s="7" t="s">
        <v>40</v>
      </c>
      <c r="D6" s="7" t="s">
        <v>56</v>
      </c>
      <c r="E6" s="7" t="s">
        <v>199</v>
      </c>
      <c r="F6" s="7" t="s">
        <v>58</v>
      </c>
    </row>
    <row r="7" customFormat="false" ht="15" hidden="false" customHeight="false" outlineLevel="0" collapsed="false">
      <c r="A7" s="8" t="s">
        <v>59</v>
      </c>
      <c r="B7" s="8" t="s">
        <v>39</v>
      </c>
      <c r="C7" s="8" t="s">
        <v>40</v>
      </c>
      <c r="D7" s="8" t="s">
        <v>200</v>
      </c>
      <c r="E7" s="8" t="s">
        <v>201</v>
      </c>
      <c r="F7" s="8" t="s">
        <v>58</v>
      </c>
    </row>
    <row r="8" customFormat="false" ht="15" hidden="false" customHeight="false" outlineLevel="0" collapsed="false">
      <c r="A8" s="7" t="s">
        <v>202</v>
      </c>
      <c r="B8" s="7" t="s">
        <v>39</v>
      </c>
      <c r="C8" s="7" t="s">
        <v>40</v>
      </c>
      <c r="D8" s="7" t="s">
        <v>203</v>
      </c>
      <c r="E8" s="7" t="s">
        <v>204</v>
      </c>
      <c r="F8" s="7" t="s">
        <v>58</v>
      </c>
    </row>
    <row r="9" customFormat="false" ht="15" hidden="false" customHeight="false" outlineLevel="0" collapsed="false">
      <c r="A9" s="8" t="s">
        <v>205</v>
      </c>
      <c r="B9" s="8" t="s">
        <v>39</v>
      </c>
      <c r="C9" s="8" t="s">
        <v>40</v>
      </c>
      <c r="D9" s="8" t="s">
        <v>206</v>
      </c>
      <c r="E9" s="8" t="s">
        <v>207</v>
      </c>
      <c r="F9" s="8" t="s">
        <v>58</v>
      </c>
    </row>
    <row r="10" customFormat="false" ht="15" hidden="false" customHeight="false" outlineLevel="0" collapsed="false">
      <c r="A10" s="7" t="s">
        <v>208</v>
      </c>
      <c r="B10" s="7" t="s">
        <v>76</v>
      </c>
      <c r="C10" s="7" t="s">
        <v>40</v>
      </c>
      <c r="D10" s="7" t="s">
        <v>209</v>
      </c>
      <c r="E10" s="7" t="s">
        <v>207</v>
      </c>
      <c r="F10" s="7" t="s">
        <v>58</v>
      </c>
    </row>
    <row r="11" customFormat="false" ht="15" hidden="false" customHeight="false" outlineLevel="0" collapsed="false">
      <c r="A11" s="8" t="s">
        <v>210</v>
      </c>
      <c r="B11" s="8" t="s">
        <v>39</v>
      </c>
      <c r="C11" s="8" t="s">
        <v>48</v>
      </c>
      <c r="D11" s="8" t="s">
        <v>211</v>
      </c>
      <c r="E11" s="8" t="s">
        <v>212</v>
      </c>
      <c r="F11" s="8" t="s">
        <v>58</v>
      </c>
    </row>
  </sheetData>
  <autoFilter ref="A1:F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0"/>
    <col collapsed="false" customWidth="true" hidden="false" outlineLevel="0" max="3" min="3" style="0" width="14"/>
    <col collapsed="false" customWidth="true" hidden="false" outlineLevel="0" max="4" min="4" style="0" width="80"/>
  </cols>
  <sheetData>
    <row r="1" customFormat="false" ht="27.75" hidden="false" customHeight="true" outlineLevel="0" collapsed="false">
      <c r="A1" s="6" t="s">
        <v>32</v>
      </c>
      <c r="B1" s="6" t="s">
        <v>33</v>
      </c>
      <c r="C1" s="6" t="s">
        <v>89</v>
      </c>
      <c r="D1" s="6" t="s">
        <v>36</v>
      </c>
    </row>
    <row r="2" customFormat="false" ht="15" hidden="false" customHeight="false" outlineLevel="0" collapsed="false">
      <c r="A2" s="7" t="s">
        <v>213</v>
      </c>
      <c r="B2" s="7" t="s">
        <v>39</v>
      </c>
      <c r="C2" s="7" t="s">
        <v>91</v>
      </c>
      <c r="D2" s="7" t="s">
        <v>214</v>
      </c>
    </row>
    <row r="3" customFormat="false" ht="15" hidden="false" customHeight="false" outlineLevel="0" collapsed="false">
      <c r="A3" s="8" t="s">
        <v>54</v>
      </c>
      <c r="B3" s="8" t="s">
        <v>39</v>
      </c>
      <c r="C3" s="8" t="s">
        <v>91</v>
      </c>
      <c r="D3" s="8" t="s">
        <v>93</v>
      </c>
    </row>
    <row r="4" customFormat="false" ht="15" hidden="false" customHeight="false" outlineLevel="0" collapsed="false">
      <c r="A4" s="7" t="s">
        <v>215</v>
      </c>
      <c r="B4" s="7" t="s">
        <v>105</v>
      </c>
      <c r="C4" s="7" t="s">
        <v>91</v>
      </c>
      <c r="D4" s="7" t="s">
        <v>216</v>
      </c>
    </row>
    <row r="5" customFormat="false" ht="15" hidden="false" customHeight="false" outlineLevel="0" collapsed="false">
      <c r="A5" s="8" t="s">
        <v>217</v>
      </c>
      <c r="B5" s="8" t="s">
        <v>105</v>
      </c>
      <c r="C5" s="8" t="s">
        <v>91</v>
      </c>
      <c r="D5" s="8" t="s">
        <v>218</v>
      </c>
    </row>
    <row r="6" customFormat="false" ht="15" hidden="false" customHeight="false" outlineLevel="0" collapsed="false">
      <c r="A6" s="7" t="s">
        <v>219</v>
      </c>
      <c r="B6" s="7" t="s">
        <v>220</v>
      </c>
      <c r="C6" s="7" t="s">
        <v>221</v>
      </c>
      <c r="D6" s="7" t="s">
        <v>222</v>
      </c>
    </row>
  </sheetData>
  <autoFilter ref="A1:D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3" min="3" style="0" width="70"/>
    <col collapsed="false" customWidth="true" hidden="false" outlineLevel="0" max="4" min="4" style="0" width="26"/>
  </cols>
  <sheetData>
    <row r="1" customFormat="false" ht="27.75" hidden="false" customHeight="true" outlineLevel="0" collapsed="false">
      <c r="A1" s="6" t="s">
        <v>115</v>
      </c>
      <c r="B1" s="6" t="s">
        <v>116</v>
      </c>
      <c r="C1" s="6" t="s">
        <v>117</v>
      </c>
      <c r="D1" s="6" t="s">
        <v>118</v>
      </c>
    </row>
    <row r="2" customFormat="false" ht="15" hidden="false" customHeight="false" outlineLevel="0" collapsed="false">
      <c r="A2" s="7" t="s">
        <v>119</v>
      </c>
      <c r="B2" s="7" t="s">
        <v>120</v>
      </c>
      <c r="C2" s="7" t="s">
        <v>223</v>
      </c>
      <c r="D2" s="7" t="s">
        <v>48</v>
      </c>
    </row>
    <row r="3" customFormat="false" ht="15" hidden="false" customHeight="false" outlineLevel="0" collapsed="false">
      <c r="A3" s="8" t="s">
        <v>122</v>
      </c>
      <c r="B3" s="8" t="s">
        <v>123</v>
      </c>
      <c r="C3" s="8" t="s">
        <v>124</v>
      </c>
      <c r="D3" s="8" t="s">
        <v>125</v>
      </c>
    </row>
    <row r="4" customFormat="false" ht="15" hidden="false" customHeight="false" outlineLevel="0" collapsed="false">
      <c r="A4" s="7" t="s">
        <v>126</v>
      </c>
      <c r="B4" s="7" t="s">
        <v>127</v>
      </c>
      <c r="C4" s="7" t="s">
        <v>224</v>
      </c>
      <c r="D4" s="7" t="s">
        <v>48</v>
      </c>
    </row>
    <row r="5" customFormat="false" ht="15" hidden="false" customHeight="false" outlineLevel="0" collapsed="false">
      <c r="A5" s="8" t="s">
        <v>225</v>
      </c>
      <c r="B5" s="8" t="s">
        <v>226</v>
      </c>
      <c r="C5" s="8" t="s">
        <v>227</v>
      </c>
      <c r="D5" s="8" t="s">
        <v>48</v>
      </c>
    </row>
    <row r="6" customFormat="false" ht="15" hidden="false" customHeight="false" outlineLevel="0" collapsed="false">
      <c r="A6" s="7" t="s">
        <v>129</v>
      </c>
      <c r="B6" s="7" t="s">
        <v>228</v>
      </c>
      <c r="C6" s="7" t="s">
        <v>229</v>
      </c>
      <c r="D6" s="7" t="s">
        <v>230</v>
      </c>
    </row>
    <row r="7" customFormat="false" ht="15" hidden="false" customHeight="false" outlineLevel="0" collapsed="false">
      <c r="A7" s="8" t="s">
        <v>138</v>
      </c>
      <c r="B7" s="8" t="s">
        <v>139</v>
      </c>
      <c r="C7" s="8" t="s">
        <v>231</v>
      </c>
      <c r="D7" s="8" t="s">
        <v>40</v>
      </c>
    </row>
    <row r="8" customFormat="false" ht="15" hidden="false" customHeight="false" outlineLevel="0" collapsed="false">
      <c r="A8" s="7" t="s">
        <v>193</v>
      </c>
      <c r="B8" s="7" t="s">
        <v>232</v>
      </c>
      <c r="C8" s="7" t="s">
        <v>233</v>
      </c>
      <c r="D8" s="7" t="s">
        <v>144</v>
      </c>
    </row>
  </sheetData>
  <autoFilter ref="A1:D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34"/>
    <col collapsed="false" customWidth="true" hidden="false" outlineLevel="0" max="3" min="3" style="0" width="70"/>
  </cols>
  <sheetData>
    <row r="1" customFormat="false" ht="27.75" hidden="false" customHeight="true" outlineLevel="0" collapsed="false">
      <c r="A1" s="6" t="s">
        <v>234</v>
      </c>
      <c r="B1" s="6" t="s">
        <v>235</v>
      </c>
      <c r="C1" s="6" t="s">
        <v>236</v>
      </c>
    </row>
    <row r="2" customFormat="false" ht="15" hidden="false" customHeight="false" outlineLevel="0" collapsed="false">
      <c r="A2" s="7" t="s">
        <v>237</v>
      </c>
      <c r="B2" s="7" t="s">
        <v>238</v>
      </c>
      <c r="C2" s="7" t="s">
        <v>239</v>
      </c>
    </row>
    <row r="3" customFormat="false" ht="15" hidden="false" customHeight="false" outlineLevel="0" collapsed="false">
      <c r="A3" s="8" t="s">
        <v>240</v>
      </c>
      <c r="B3" s="8" t="s">
        <v>241</v>
      </c>
      <c r="C3" s="8" t="s">
        <v>239</v>
      </c>
    </row>
    <row r="4" customFormat="false" ht="15" hidden="false" customHeight="false" outlineLevel="0" collapsed="false">
      <c r="A4" s="7" t="s">
        <v>242</v>
      </c>
      <c r="B4" s="7" t="s">
        <v>243</v>
      </c>
      <c r="C4" s="7" t="s">
        <v>244</v>
      </c>
    </row>
    <row r="5" customFormat="false" ht="15" hidden="false" customHeight="false" outlineLevel="0" collapsed="false">
      <c r="A5" s="8" t="s">
        <v>245</v>
      </c>
      <c r="B5" s="8" t="s">
        <v>246</v>
      </c>
      <c r="C5" s="8" t="s">
        <v>247</v>
      </c>
    </row>
    <row r="6" customFormat="false" ht="15" hidden="false" customHeight="false" outlineLevel="0" collapsed="false">
      <c r="A6" s="7" t="s">
        <v>248</v>
      </c>
      <c r="B6" s="7" t="s">
        <v>249</v>
      </c>
      <c r="C6" s="7" t="s">
        <v>250</v>
      </c>
    </row>
    <row r="7" customFormat="false" ht="15" hidden="false" customHeight="false" outlineLevel="0" collapsed="false">
      <c r="A7" s="8" t="s">
        <v>251</v>
      </c>
      <c r="B7" s="8" t="s">
        <v>246</v>
      </c>
      <c r="C7" s="8" t="s">
        <v>252</v>
      </c>
    </row>
  </sheetData>
  <autoFilter ref="A1:C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22"/>
    <col collapsed="false" customWidth="true" hidden="false" outlineLevel="0" max="4" min="4" style="0" width="100"/>
  </cols>
  <sheetData>
    <row r="1" customFormat="false" ht="27.75" hidden="false" customHeight="true" outlineLevel="0" collapsed="false">
      <c r="A1" s="6" t="s">
        <v>253</v>
      </c>
      <c r="B1" s="6" t="s">
        <v>254</v>
      </c>
      <c r="C1" s="6" t="s">
        <v>255</v>
      </c>
      <c r="D1" s="6" t="s">
        <v>16</v>
      </c>
    </row>
    <row r="2" customFormat="false" ht="15" hidden="false" customHeight="false" outlineLevel="0" collapsed="false">
      <c r="A2" s="7" t="s">
        <v>54</v>
      </c>
      <c r="B2" s="7" t="s">
        <v>256</v>
      </c>
      <c r="C2" s="7" t="s">
        <v>257</v>
      </c>
      <c r="D2" s="7" t="s">
        <v>258</v>
      </c>
    </row>
    <row r="3" customFormat="false" ht="23.85" hidden="false" customHeight="false" outlineLevel="0" collapsed="false">
      <c r="A3" s="8" t="s">
        <v>202</v>
      </c>
      <c r="B3" s="8" t="s">
        <v>256</v>
      </c>
      <c r="C3" s="8" t="s">
        <v>259</v>
      </c>
      <c r="D3" s="8" t="s">
        <v>260</v>
      </c>
    </row>
    <row r="4" customFormat="false" ht="15" hidden="false" customHeight="false" outlineLevel="0" collapsed="false">
      <c r="A4" s="7" t="s">
        <v>90</v>
      </c>
      <c r="B4" s="7" t="s">
        <v>261</v>
      </c>
      <c r="C4" s="7" t="s">
        <v>262</v>
      </c>
      <c r="D4" s="7" t="s">
        <v>263</v>
      </c>
    </row>
    <row r="5" customFormat="false" ht="15" hidden="false" customHeight="false" outlineLevel="0" collapsed="false">
      <c r="A5" s="8" t="s">
        <v>264</v>
      </c>
      <c r="B5" s="8" t="s">
        <v>261</v>
      </c>
      <c r="C5" s="8" t="s">
        <v>265</v>
      </c>
      <c r="D5" s="8" t="s">
        <v>266</v>
      </c>
    </row>
    <row r="6" customFormat="false" ht="15" hidden="false" customHeight="false" outlineLevel="0" collapsed="false">
      <c r="A6" s="7" t="s">
        <v>267</v>
      </c>
      <c r="B6" s="7" t="s">
        <v>268</v>
      </c>
      <c r="C6" s="7" t="s">
        <v>269</v>
      </c>
      <c r="D6" s="7" t="s">
        <v>270</v>
      </c>
    </row>
  </sheetData>
  <autoFilter ref="A1:D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6"/>
    <col collapsed="false" customWidth="true" hidden="false" outlineLevel="0" max="3" min="3" style="0" width="80"/>
  </cols>
  <sheetData>
    <row r="1" customFormat="false" ht="27.75" hidden="false" customHeight="true" outlineLevel="0" collapsed="false">
      <c r="A1" s="6" t="s">
        <v>271</v>
      </c>
      <c r="B1" s="6" t="s">
        <v>272</v>
      </c>
      <c r="C1" s="6" t="s">
        <v>273</v>
      </c>
    </row>
    <row r="2" customFormat="false" ht="15" hidden="false" customHeight="false" outlineLevel="0" collapsed="false">
      <c r="A2" s="7" t="s">
        <v>245</v>
      </c>
      <c r="B2" s="7" t="s">
        <v>261</v>
      </c>
      <c r="C2" s="7" t="s">
        <v>274</v>
      </c>
    </row>
    <row r="3" customFormat="false" ht="15" hidden="false" customHeight="false" outlineLevel="0" collapsed="false">
      <c r="A3" s="8" t="s">
        <v>275</v>
      </c>
      <c r="B3" s="8" t="s">
        <v>276</v>
      </c>
      <c r="C3" s="8" t="s">
        <v>277</v>
      </c>
    </row>
    <row r="4" customFormat="false" ht="15" hidden="false" customHeight="false" outlineLevel="0" collapsed="false">
      <c r="A4" s="7" t="s">
        <v>278</v>
      </c>
      <c r="B4" s="7" t="s">
        <v>276</v>
      </c>
      <c r="C4" s="7" t="s">
        <v>279</v>
      </c>
    </row>
    <row r="5" customFormat="false" ht="15" hidden="false" customHeight="false" outlineLevel="0" collapsed="false">
      <c r="A5" s="8" t="s">
        <v>251</v>
      </c>
      <c r="B5" s="8" t="s">
        <v>280</v>
      </c>
      <c r="C5" s="8" t="s">
        <v>281</v>
      </c>
    </row>
    <row r="6" customFormat="false" ht="15" hidden="false" customHeight="false" outlineLevel="0" collapsed="false">
      <c r="A6" s="7" t="s">
        <v>282</v>
      </c>
      <c r="B6" s="7" t="s">
        <v>280</v>
      </c>
      <c r="C6" s="7" t="s">
        <v>283</v>
      </c>
    </row>
    <row r="7" customFormat="false" ht="15" hidden="false" customHeight="false" outlineLevel="0" collapsed="false">
      <c r="A7" s="8" t="s">
        <v>284</v>
      </c>
      <c r="B7" s="8" t="s">
        <v>285</v>
      </c>
      <c r="C7" s="8" t="s">
        <v>286</v>
      </c>
    </row>
    <row r="8" customFormat="false" ht="15" hidden="false" customHeight="false" outlineLevel="0" collapsed="false">
      <c r="A8" s="7" t="s">
        <v>287</v>
      </c>
      <c r="B8" s="7" t="s">
        <v>288</v>
      </c>
      <c r="C8" s="7" t="s">
        <v>289</v>
      </c>
    </row>
    <row r="9" customFormat="false" ht="15" hidden="false" customHeight="false" outlineLevel="0" collapsed="false">
      <c r="A9" s="8" t="s">
        <v>290</v>
      </c>
      <c r="B9" s="8" t="s">
        <v>291</v>
      </c>
      <c r="C9" s="8" t="s">
        <v>292</v>
      </c>
    </row>
    <row r="10" customFormat="false" ht="15" hidden="false" customHeight="false" outlineLevel="0" collapsed="false">
      <c r="A10" s="7" t="s">
        <v>293</v>
      </c>
      <c r="B10" s="7" t="s">
        <v>261</v>
      </c>
      <c r="C10" s="7" t="s">
        <v>294</v>
      </c>
    </row>
  </sheetData>
  <autoFilter ref="A1:C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0"/>
    <col collapsed="false" customWidth="true" hidden="false" outlineLevel="0" max="3" min="3" style="0" width="100"/>
  </cols>
  <sheetData>
    <row r="1" customFormat="false" ht="27.75" hidden="false" customHeight="true" outlineLevel="0" collapsed="false">
      <c r="A1" s="6" t="s">
        <v>295</v>
      </c>
      <c r="B1" s="6" t="s">
        <v>296</v>
      </c>
      <c r="C1" s="6" t="s">
        <v>297</v>
      </c>
    </row>
    <row r="2" customFormat="false" ht="23.85" hidden="false" customHeight="false" outlineLevel="0" collapsed="false">
      <c r="A2" s="7" t="s">
        <v>298</v>
      </c>
      <c r="B2" s="7" t="s">
        <v>299</v>
      </c>
      <c r="C2" s="7" t="s">
        <v>300</v>
      </c>
    </row>
    <row r="3" customFormat="false" ht="15" hidden="false" customHeight="false" outlineLevel="0" collapsed="false">
      <c r="A3" s="8" t="s">
        <v>301</v>
      </c>
      <c r="B3" s="8" t="s">
        <v>302</v>
      </c>
      <c r="C3" s="8" t="s">
        <v>303</v>
      </c>
    </row>
    <row r="4" customFormat="false" ht="15" hidden="false" customHeight="false" outlineLevel="0" collapsed="false">
      <c r="A4" s="7" t="s">
        <v>304</v>
      </c>
      <c r="B4" s="7" t="s">
        <v>305</v>
      </c>
      <c r="C4" s="7" t="s">
        <v>306</v>
      </c>
    </row>
    <row r="5" customFormat="false" ht="23.85" hidden="false" customHeight="false" outlineLevel="0" collapsed="false">
      <c r="A5" s="8" t="s">
        <v>307</v>
      </c>
      <c r="B5" s="8" t="s">
        <v>308</v>
      </c>
      <c r="C5" s="8" t="s">
        <v>309</v>
      </c>
    </row>
    <row r="6" customFormat="false" ht="15" hidden="false" customHeight="false" outlineLevel="0" collapsed="false">
      <c r="A6" s="7" t="s">
        <v>310</v>
      </c>
      <c r="B6" s="7" t="s">
        <v>311</v>
      </c>
      <c r="C6" s="7" t="s">
        <v>312</v>
      </c>
    </row>
    <row r="7" customFormat="false" ht="23.85" hidden="false" customHeight="false" outlineLevel="0" collapsed="false">
      <c r="A7" s="8" t="s">
        <v>313</v>
      </c>
      <c r="B7" s="8" t="s">
        <v>314</v>
      </c>
      <c r="C7" s="8" t="s">
        <v>315</v>
      </c>
    </row>
  </sheetData>
  <autoFilter ref="A1:C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4"/>
    <col collapsed="false" customWidth="true" hidden="false" outlineLevel="0" max="3" min="3" style="0" width="80"/>
  </cols>
  <sheetData>
    <row r="1" customFormat="false" ht="27.75" hidden="false" customHeight="true" outlineLevel="0" collapsed="false">
      <c r="A1" s="6" t="s">
        <v>316</v>
      </c>
      <c r="B1" s="6" t="s">
        <v>317</v>
      </c>
      <c r="C1" s="6" t="s">
        <v>318</v>
      </c>
    </row>
    <row r="2" customFormat="false" ht="15" hidden="false" customHeight="false" outlineLevel="0" collapsed="false">
      <c r="A2" s="7" t="s">
        <v>319</v>
      </c>
      <c r="B2" s="7" t="s">
        <v>320</v>
      </c>
      <c r="C2" s="7" t="s">
        <v>321</v>
      </c>
    </row>
    <row r="3" customFormat="false" ht="15" hidden="false" customHeight="false" outlineLevel="0" collapsed="false">
      <c r="A3" s="8" t="s">
        <v>322</v>
      </c>
      <c r="B3" s="8" t="s">
        <v>323</v>
      </c>
      <c r="C3" s="8" t="s">
        <v>324</v>
      </c>
    </row>
    <row r="4" customFormat="false" ht="15" hidden="false" customHeight="false" outlineLevel="0" collapsed="false">
      <c r="A4" s="7" t="s">
        <v>325</v>
      </c>
      <c r="B4" s="7" t="s">
        <v>326</v>
      </c>
      <c r="C4" s="7" t="s">
        <v>327</v>
      </c>
    </row>
    <row r="5" customFormat="false" ht="23.85" hidden="false" customHeight="false" outlineLevel="0" collapsed="false">
      <c r="A5" s="8" t="s">
        <v>328</v>
      </c>
      <c r="B5" s="8" t="s">
        <v>329</v>
      </c>
      <c r="C5" s="8" t="s">
        <v>330</v>
      </c>
    </row>
    <row r="6" customFormat="false" ht="23.85" hidden="false" customHeight="false" outlineLevel="0" collapsed="false">
      <c r="A6" s="7" t="s">
        <v>331</v>
      </c>
      <c r="B6" s="7" t="s">
        <v>332</v>
      </c>
      <c r="C6" s="7" t="s">
        <v>333</v>
      </c>
    </row>
    <row r="7" customFormat="false" ht="15" hidden="false" customHeight="false" outlineLevel="0" collapsed="false">
      <c r="A7" s="8" t="s">
        <v>334</v>
      </c>
      <c r="B7" s="8" t="s">
        <v>335</v>
      </c>
      <c r="C7" s="8" t="s">
        <v>336</v>
      </c>
    </row>
    <row r="8" customFormat="false" ht="15" hidden="false" customHeight="false" outlineLevel="0" collapsed="false">
      <c r="A8" s="7" t="s">
        <v>337</v>
      </c>
      <c r="B8" s="7" t="s">
        <v>338</v>
      </c>
      <c r="C8" s="7" t="s">
        <v>339</v>
      </c>
    </row>
    <row r="9" customFormat="false" ht="15" hidden="false" customHeight="false" outlineLevel="0" collapsed="false">
      <c r="A9" s="8" t="s">
        <v>340</v>
      </c>
      <c r="B9" s="8" t="s">
        <v>341</v>
      </c>
      <c r="C9" s="8" t="s">
        <v>342</v>
      </c>
    </row>
    <row r="10" customFormat="false" ht="15" hidden="false" customHeight="false" outlineLevel="0" collapsed="false">
      <c r="A10" s="7" t="s">
        <v>343</v>
      </c>
      <c r="B10" s="7" t="s">
        <v>344</v>
      </c>
      <c r="C10" s="7" t="s">
        <v>345</v>
      </c>
    </row>
  </sheetData>
  <autoFilter ref="A1:C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0"/>
    <col collapsed="false" customWidth="true" hidden="false" outlineLevel="0" max="3" min="3" style="0" width="90"/>
  </cols>
  <sheetData>
    <row r="1" customFormat="false" ht="27.75" hidden="false" customHeight="true" outlineLevel="0" collapsed="false">
      <c r="A1" s="6" t="s">
        <v>346</v>
      </c>
      <c r="B1" s="6" t="s">
        <v>347</v>
      </c>
      <c r="C1" s="6" t="s">
        <v>348</v>
      </c>
    </row>
    <row r="2" customFormat="false" ht="23.85" hidden="false" customHeight="false" outlineLevel="0" collapsed="false">
      <c r="A2" s="7" t="s">
        <v>349</v>
      </c>
      <c r="B2" s="7" t="s">
        <v>350</v>
      </c>
      <c r="C2" s="7" t="s">
        <v>351</v>
      </c>
    </row>
    <row r="3" customFormat="false" ht="15" hidden="false" customHeight="false" outlineLevel="0" collapsed="false">
      <c r="A3" s="8" t="s">
        <v>352</v>
      </c>
      <c r="B3" s="8" t="s">
        <v>353</v>
      </c>
      <c r="C3" s="8" t="s">
        <v>354</v>
      </c>
    </row>
    <row r="4" customFormat="false" ht="23.85" hidden="false" customHeight="false" outlineLevel="0" collapsed="false">
      <c r="A4" s="7" t="s">
        <v>355</v>
      </c>
      <c r="B4" s="7" t="s">
        <v>356</v>
      </c>
      <c r="C4" s="7" t="s">
        <v>357</v>
      </c>
    </row>
    <row r="5" customFormat="false" ht="15" hidden="false" customHeight="false" outlineLevel="0" collapsed="false">
      <c r="A5" s="8" t="s">
        <v>358</v>
      </c>
      <c r="B5" s="8" t="s">
        <v>359</v>
      </c>
      <c r="C5" s="8" t="s">
        <v>360</v>
      </c>
    </row>
    <row r="6" customFormat="false" ht="15" hidden="false" customHeight="false" outlineLevel="0" collapsed="false">
      <c r="A6" s="7" t="s">
        <v>361</v>
      </c>
      <c r="B6" s="7" t="s">
        <v>353</v>
      </c>
      <c r="C6" s="7" t="s">
        <v>362</v>
      </c>
    </row>
    <row r="7" customFormat="false" ht="15" hidden="false" customHeight="false" outlineLevel="0" collapsed="false">
      <c r="A7" s="8" t="s">
        <v>363</v>
      </c>
      <c r="B7" s="8" t="s">
        <v>364</v>
      </c>
      <c r="C7" s="8" t="s">
        <v>365</v>
      </c>
    </row>
    <row r="8" customFormat="false" ht="15" hidden="false" customHeight="false" outlineLevel="0" collapsed="false">
      <c r="A8" s="7" t="s">
        <v>366</v>
      </c>
      <c r="B8" s="7" t="s">
        <v>367</v>
      </c>
      <c r="C8" s="7" t="s">
        <v>368</v>
      </c>
    </row>
    <row r="9" customFormat="false" ht="15" hidden="false" customHeight="false" outlineLevel="0" collapsed="false">
      <c r="A9" s="8" t="s">
        <v>369</v>
      </c>
      <c r="B9" s="8" t="s">
        <v>370</v>
      </c>
      <c r="C9" s="8" t="s">
        <v>371</v>
      </c>
    </row>
    <row r="10" customFormat="false" ht="15" hidden="false" customHeight="false" outlineLevel="0" collapsed="false">
      <c r="A10" s="7" t="s">
        <v>372</v>
      </c>
      <c r="B10" s="7" t="s">
        <v>268</v>
      </c>
      <c r="C10" s="7" t="s">
        <v>373</v>
      </c>
    </row>
    <row r="11" customFormat="false" ht="15" hidden="false" customHeight="false" outlineLevel="0" collapsed="false">
      <c r="A11" s="8" t="s">
        <v>374</v>
      </c>
      <c r="B11" s="8" t="s">
        <v>268</v>
      </c>
      <c r="C11" s="8" t="s">
        <v>375</v>
      </c>
    </row>
    <row r="12" customFormat="false" ht="15" hidden="false" customHeight="false" outlineLevel="0" collapsed="false">
      <c r="A12" s="7" t="s">
        <v>376</v>
      </c>
      <c r="B12" s="7" t="s">
        <v>377</v>
      </c>
      <c r="C12" s="7" t="s">
        <v>378</v>
      </c>
    </row>
  </sheetData>
  <autoFilter ref="A1:C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3" min="3" style="0" width="16"/>
    <col collapsed="false" customWidth="true" hidden="false" outlineLevel="0" max="4" min="4" style="0" width="80"/>
    <col collapsed="false" customWidth="true" hidden="false" outlineLevel="0" max="5" min="5" style="0" width="40"/>
    <col collapsed="false" customWidth="true" hidden="false" outlineLevel="0" max="6" min="6" style="0" width="26"/>
    <col collapsed="false" customWidth="true" hidden="false" outlineLevel="0" max="7" min="7" style="0" width="12"/>
    <col collapsed="false" customWidth="true" hidden="false" outlineLevel="0" max="8" min="8" style="0" width="30"/>
  </cols>
  <sheetData>
    <row r="1" customFormat="false" ht="27.75" hidden="false" customHeight="true" outlineLevel="0" collapsed="false">
      <c r="A1" s="6" t="s">
        <v>379</v>
      </c>
      <c r="B1" s="6" t="s">
        <v>380</v>
      </c>
      <c r="C1" s="6" t="s">
        <v>381</v>
      </c>
      <c r="D1" s="6" t="s">
        <v>382</v>
      </c>
      <c r="E1" s="6" t="s">
        <v>383</v>
      </c>
      <c r="F1" s="6" t="s">
        <v>384</v>
      </c>
      <c r="G1" s="6" t="s">
        <v>385</v>
      </c>
      <c r="H1" s="6" t="s">
        <v>386</v>
      </c>
    </row>
    <row r="2" customFormat="false" ht="46.25" hidden="false" customHeight="false" outlineLevel="0" collapsed="false">
      <c r="A2" s="7" t="s">
        <v>387</v>
      </c>
      <c r="B2" s="7" t="s">
        <v>388</v>
      </c>
      <c r="C2" s="7" t="s">
        <v>389</v>
      </c>
      <c r="D2" s="7" t="s">
        <v>390</v>
      </c>
      <c r="E2" s="7" t="s">
        <v>391</v>
      </c>
      <c r="F2" s="7" t="s">
        <v>392</v>
      </c>
      <c r="G2" s="9" t="s">
        <v>48</v>
      </c>
      <c r="H2" s="9"/>
    </row>
    <row r="3" customFormat="false" ht="35.05" hidden="false" customHeight="false" outlineLevel="0" collapsed="false">
      <c r="A3" s="8" t="s">
        <v>393</v>
      </c>
      <c r="B3" s="8" t="s">
        <v>394</v>
      </c>
      <c r="C3" s="8" t="s">
        <v>395</v>
      </c>
      <c r="D3" s="8" t="s">
        <v>396</v>
      </c>
      <c r="E3" s="8" t="s">
        <v>397</v>
      </c>
      <c r="F3" s="8" t="s">
        <v>398</v>
      </c>
      <c r="G3" s="9" t="s">
        <v>48</v>
      </c>
      <c r="H3" s="9"/>
    </row>
    <row r="4" customFormat="false" ht="35.05" hidden="false" customHeight="false" outlineLevel="0" collapsed="false">
      <c r="A4" s="7" t="s">
        <v>399</v>
      </c>
      <c r="B4" s="7" t="s">
        <v>400</v>
      </c>
      <c r="C4" s="7" t="s">
        <v>401</v>
      </c>
      <c r="D4" s="7" t="s">
        <v>402</v>
      </c>
      <c r="E4" s="7" t="s">
        <v>403</v>
      </c>
      <c r="F4" s="7" t="s">
        <v>404</v>
      </c>
      <c r="G4" s="9" t="s">
        <v>48</v>
      </c>
      <c r="H4" s="9"/>
    </row>
    <row r="5" customFormat="false" ht="46.25" hidden="false" customHeight="false" outlineLevel="0" collapsed="false">
      <c r="A5" s="8" t="s">
        <v>405</v>
      </c>
      <c r="B5" s="8" t="s">
        <v>406</v>
      </c>
      <c r="C5" s="8" t="s">
        <v>407</v>
      </c>
      <c r="D5" s="8" t="s">
        <v>408</v>
      </c>
      <c r="E5" s="8" t="s">
        <v>409</v>
      </c>
      <c r="F5" s="8" t="s">
        <v>410</v>
      </c>
      <c r="G5" s="9" t="s">
        <v>48</v>
      </c>
      <c r="H5" s="9"/>
    </row>
    <row r="6" customFormat="false" ht="35.05" hidden="false" customHeight="false" outlineLevel="0" collapsed="false">
      <c r="A6" s="7" t="s">
        <v>411</v>
      </c>
      <c r="B6" s="7" t="s">
        <v>400</v>
      </c>
      <c r="C6" s="7" t="s">
        <v>412</v>
      </c>
      <c r="D6" s="7" t="s">
        <v>413</v>
      </c>
      <c r="E6" s="7" t="s">
        <v>414</v>
      </c>
      <c r="F6" s="7" t="s">
        <v>415</v>
      </c>
      <c r="G6" s="9" t="s">
        <v>48</v>
      </c>
      <c r="H6" s="9"/>
    </row>
    <row r="7" customFormat="false" ht="35.05" hidden="false" customHeight="false" outlineLevel="0" collapsed="false">
      <c r="A7" s="8" t="s">
        <v>416</v>
      </c>
      <c r="B7" s="8" t="s">
        <v>406</v>
      </c>
      <c r="C7" s="8" t="s">
        <v>417</v>
      </c>
      <c r="D7" s="8" t="s">
        <v>418</v>
      </c>
      <c r="E7" s="8" t="s">
        <v>419</v>
      </c>
      <c r="F7" s="8" t="s">
        <v>420</v>
      </c>
      <c r="G7" s="9" t="s">
        <v>48</v>
      </c>
      <c r="H7" s="9"/>
    </row>
    <row r="8" customFormat="false" ht="35.05" hidden="false" customHeight="false" outlineLevel="0" collapsed="false">
      <c r="A8" s="7" t="s">
        <v>421</v>
      </c>
      <c r="B8" s="7" t="s">
        <v>406</v>
      </c>
      <c r="C8" s="7" t="s">
        <v>422</v>
      </c>
      <c r="D8" s="7" t="s">
        <v>423</v>
      </c>
      <c r="E8" s="7" t="s">
        <v>424</v>
      </c>
      <c r="F8" s="7" t="s">
        <v>425</v>
      </c>
      <c r="G8" s="9" t="s">
        <v>48</v>
      </c>
      <c r="H8" s="9"/>
    </row>
    <row r="9" customFormat="false" ht="46.25" hidden="false" customHeight="false" outlineLevel="0" collapsed="false">
      <c r="A9" s="8" t="s">
        <v>426</v>
      </c>
      <c r="B9" s="8" t="s">
        <v>388</v>
      </c>
      <c r="C9" s="8" t="s">
        <v>427</v>
      </c>
      <c r="D9" s="8" t="s">
        <v>428</v>
      </c>
      <c r="E9" s="8" t="s">
        <v>429</v>
      </c>
      <c r="F9" s="8" t="s">
        <v>430</v>
      </c>
      <c r="G9" s="9" t="s">
        <v>48</v>
      </c>
      <c r="H9" s="9"/>
    </row>
    <row r="10" customFormat="false" ht="35.05" hidden="false" customHeight="false" outlineLevel="0" collapsed="false">
      <c r="A10" s="7" t="s">
        <v>431</v>
      </c>
      <c r="B10" s="7" t="s">
        <v>394</v>
      </c>
      <c r="C10" s="7" t="s">
        <v>271</v>
      </c>
      <c r="D10" s="7" t="s">
        <v>432</v>
      </c>
      <c r="E10" s="7" t="s">
        <v>433</v>
      </c>
      <c r="F10" s="7" t="s">
        <v>434</v>
      </c>
      <c r="G10" s="9" t="s">
        <v>48</v>
      </c>
      <c r="H10" s="9"/>
    </row>
    <row r="11" customFormat="false" ht="23.85" hidden="false" customHeight="false" outlineLevel="0" collapsed="false">
      <c r="A11" s="8" t="s">
        <v>435</v>
      </c>
      <c r="B11" s="8" t="s">
        <v>394</v>
      </c>
      <c r="C11" s="8" t="s">
        <v>436</v>
      </c>
      <c r="D11" s="8" t="s">
        <v>437</v>
      </c>
      <c r="E11" s="8" t="s">
        <v>438</v>
      </c>
      <c r="F11" s="8" t="s">
        <v>439</v>
      </c>
      <c r="G11" s="9" t="s">
        <v>48</v>
      </c>
      <c r="H11" s="9"/>
    </row>
    <row r="12" customFormat="false" ht="23.85" hidden="false" customHeight="false" outlineLevel="0" collapsed="false">
      <c r="A12" s="7" t="s">
        <v>440</v>
      </c>
      <c r="B12" s="7" t="s">
        <v>394</v>
      </c>
      <c r="C12" s="7" t="s">
        <v>12</v>
      </c>
      <c r="D12" s="7" t="s">
        <v>441</v>
      </c>
      <c r="E12" s="7" t="s">
        <v>442</v>
      </c>
      <c r="F12" s="7" t="s">
        <v>377</v>
      </c>
      <c r="G12" s="9" t="s">
        <v>48</v>
      </c>
      <c r="H12" s="9"/>
    </row>
    <row r="13" customFormat="false" ht="23.85" hidden="false" customHeight="false" outlineLevel="0" collapsed="false">
      <c r="A13" s="8" t="s">
        <v>443</v>
      </c>
      <c r="B13" s="8" t="s">
        <v>406</v>
      </c>
      <c r="C13" s="8" t="s">
        <v>444</v>
      </c>
      <c r="D13" s="8" t="s">
        <v>445</v>
      </c>
      <c r="E13" s="8" t="s">
        <v>446</v>
      </c>
      <c r="F13" s="8" t="s">
        <v>447</v>
      </c>
      <c r="G13" s="9" t="s">
        <v>48</v>
      </c>
      <c r="H13" s="9"/>
    </row>
    <row r="14" customFormat="false" ht="57.45" hidden="false" customHeight="false" outlineLevel="0" collapsed="false">
      <c r="A14" s="7" t="s">
        <v>448</v>
      </c>
      <c r="B14" s="7" t="s">
        <v>449</v>
      </c>
      <c r="C14" s="7" t="s">
        <v>450</v>
      </c>
      <c r="D14" s="7" t="s">
        <v>451</v>
      </c>
      <c r="E14" s="7" t="s">
        <v>452</v>
      </c>
      <c r="F14" s="7" t="s">
        <v>420</v>
      </c>
      <c r="G14" s="9" t="s">
        <v>48</v>
      </c>
      <c r="H14" s="9"/>
    </row>
    <row r="15" customFormat="false" ht="23.85" hidden="false" customHeight="false" outlineLevel="0" collapsed="false">
      <c r="A15" s="8" t="s">
        <v>453</v>
      </c>
      <c r="B15" s="8" t="s">
        <v>449</v>
      </c>
      <c r="C15" s="8" t="s">
        <v>454</v>
      </c>
      <c r="D15" s="8" t="s">
        <v>455</v>
      </c>
      <c r="E15" s="8" t="s">
        <v>456</v>
      </c>
      <c r="F15" s="8" t="s">
        <v>420</v>
      </c>
      <c r="G15" s="9" t="s">
        <v>48</v>
      </c>
      <c r="H15" s="9"/>
    </row>
    <row r="16" customFormat="false" ht="35.05" hidden="false" customHeight="false" outlineLevel="0" collapsed="false">
      <c r="A16" s="7" t="s">
        <v>457</v>
      </c>
      <c r="B16" s="7" t="s">
        <v>449</v>
      </c>
      <c r="C16" s="7" t="s">
        <v>458</v>
      </c>
      <c r="D16" s="7" t="s">
        <v>459</v>
      </c>
      <c r="E16" s="7" t="s">
        <v>460</v>
      </c>
      <c r="F16" s="7" t="s">
        <v>461</v>
      </c>
      <c r="G16" s="9" t="s">
        <v>48</v>
      </c>
      <c r="H16" s="9"/>
    </row>
    <row r="17" customFormat="false" ht="35.05" hidden="false" customHeight="false" outlineLevel="0" collapsed="false">
      <c r="A17" s="8" t="s">
        <v>462</v>
      </c>
      <c r="B17" s="8" t="s">
        <v>394</v>
      </c>
      <c r="C17" s="8" t="s">
        <v>463</v>
      </c>
      <c r="D17" s="8" t="s">
        <v>464</v>
      </c>
      <c r="E17" s="8" t="s">
        <v>465</v>
      </c>
      <c r="F17" s="8" t="s">
        <v>466</v>
      </c>
      <c r="G17" s="9" t="s">
        <v>48</v>
      </c>
      <c r="H17" s="9"/>
    </row>
    <row r="18" customFormat="false" ht="23.85" hidden="false" customHeight="false" outlineLevel="0" collapsed="false">
      <c r="A18" s="7" t="s">
        <v>467</v>
      </c>
      <c r="B18" s="7" t="s">
        <v>394</v>
      </c>
      <c r="C18" s="7" t="s">
        <v>468</v>
      </c>
      <c r="D18" s="7" t="s">
        <v>469</v>
      </c>
      <c r="E18" s="7" t="s">
        <v>438</v>
      </c>
      <c r="F18" s="7" t="s">
        <v>420</v>
      </c>
      <c r="G18" s="9" t="s">
        <v>48</v>
      </c>
      <c r="H18" s="9"/>
    </row>
  </sheetData>
  <autoFilter ref="A1:H18"/>
  <dataValidations count="1">
    <dataValidation allowBlank="false" errorStyle="stop" operator="between" showDropDown="false" showErrorMessage="false" showInputMessage="false" sqref="G2:G18"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56"/>
    <col collapsed="false" customWidth="true" hidden="false" outlineLevel="0" max="4" min="4" style="0" width="52"/>
    <col collapsed="false" customWidth="true" hidden="false" outlineLevel="0" max="5" min="5" style="0" width="28"/>
    <col collapsed="false" customWidth="true" hidden="false" outlineLevel="0" max="6" min="6" style="0" width="12"/>
    <col collapsed="false" customWidth="true" hidden="false" outlineLevel="0" max="7" min="7" style="0" width="22"/>
    <col collapsed="false" customWidth="true" hidden="false" outlineLevel="0" max="8" min="8" style="0" width="30"/>
  </cols>
  <sheetData>
    <row r="1" customFormat="false" ht="27.75" hidden="false" customHeight="true" outlineLevel="0" collapsed="false">
      <c r="A1" s="6" t="s">
        <v>379</v>
      </c>
      <c r="B1" s="6" t="s">
        <v>470</v>
      </c>
      <c r="C1" s="6" t="s">
        <v>471</v>
      </c>
      <c r="D1" s="6" t="s">
        <v>472</v>
      </c>
      <c r="E1" s="6" t="s">
        <v>473</v>
      </c>
      <c r="F1" s="6" t="s">
        <v>115</v>
      </c>
      <c r="G1" s="6" t="s">
        <v>474</v>
      </c>
      <c r="H1" s="6" t="s">
        <v>475</v>
      </c>
    </row>
    <row r="2" customFormat="false" ht="35.05" hidden="false" customHeight="false" outlineLevel="0" collapsed="false">
      <c r="A2" s="7" t="s">
        <v>476</v>
      </c>
      <c r="B2" s="7" t="s">
        <v>477</v>
      </c>
      <c r="C2" s="7" t="s">
        <v>478</v>
      </c>
      <c r="D2" s="7" t="s">
        <v>479</v>
      </c>
      <c r="E2" s="7" t="s">
        <v>480</v>
      </c>
      <c r="F2" s="7" t="s">
        <v>481</v>
      </c>
      <c r="G2" s="9"/>
      <c r="H2" s="9"/>
    </row>
    <row r="3" customFormat="false" ht="23.85" hidden="false" customHeight="false" outlineLevel="0" collapsed="false">
      <c r="A3" s="8" t="s">
        <v>482</v>
      </c>
      <c r="B3" s="8" t="s">
        <v>483</v>
      </c>
      <c r="C3" s="8" t="s">
        <v>484</v>
      </c>
      <c r="D3" s="8" t="s">
        <v>485</v>
      </c>
      <c r="E3" s="8" t="s">
        <v>486</v>
      </c>
      <c r="F3" s="8" t="s">
        <v>481</v>
      </c>
      <c r="G3" s="9"/>
      <c r="H3" s="9"/>
    </row>
    <row r="4" customFormat="false" ht="35.05" hidden="false" customHeight="false" outlineLevel="0" collapsed="false">
      <c r="A4" s="7" t="s">
        <v>487</v>
      </c>
      <c r="B4" s="7" t="s">
        <v>488</v>
      </c>
      <c r="C4" s="7" t="s">
        <v>489</v>
      </c>
      <c r="D4" s="7" t="s">
        <v>490</v>
      </c>
      <c r="E4" s="7" t="s">
        <v>491</v>
      </c>
      <c r="F4" s="7" t="s">
        <v>481</v>
      </c>
      <c r="G4" s="9"/>
      <c r="H4" s="9"/>
    </row>
    <row r="5" customFormat="false" ht="23.85" hidden="false" customHeight="false" outlineLevel="0" collapsed="false">
      <c r="A5" s="8" t="s">
        <v>492</v>
      </c>
      <c r="B5" s="8" t="s">
        <v>493</v>
      </c>
      <c r="C5" s="8" t="s">
        <v>494</v>
      </c>
      <c r="D5" s="8" t="s">
        <v>495</v>
      </c>
      <c r="E5" s="8" t="s">
        <v>496</v>
      </c>
      <c r="F5" s="8" t="s">
        <v>481</v>
      </c>
      <c r="G5" s="9"/>
      <c r="H5" s="9"/>
    </row>
    <row r="6" customFormat="false" ht="23.85" hidden="false" customHeight="false" outlineLevel="0" collapsed="false">
      <c r="A6" s="7" t="s">
        <v>497</v>
      </c>
      <c r="B6" s="7" t="s">
        <v>498</v>
      </c>
      <c r="C6" s="7" t="s">
        <v>499</v>
      </c>
      <c r="D6" s="7" t="s">
        <v>500</v>
      </c>
      <c r="E6" s="7" t="s">
        <v>501</v>
      </c>
      <c r="F6" s="7" t="s">
        <v>481</v>
      </c>
      <c r="G6" s="9"/>
      <c r="H6" s="9"/>
    </row>
    <row r="7" customFormat="false" ht="23.85" hidden="false" customHeight="false" outlineLevel="0" collapsed="false">
      <c r="A7" s="8" t="s">
        <v>502</v>
      </c>
      <c r="B7" s="8" t="s">
        <v>503</v>
      </c>
      <c r="C7" s="8" t="s">
        <v>504</v>
      </c>
      <c r="D7" s="8" t="s">
        <v>505</v>
      </c>
      <c r="E7" s="8" t="s">
        <v>506</v>
      </c>
      <c r="F7" s="8" t="s">
        <v>481</v>
      </c>
      <c r="G7" s="9"/>
      <c r="H7" s="9"/>
    </row>
    <row r="8" customFormat="false" ht="23.85" hidden="false" customHeight="false" outlineLevel="0" collapsed="false">
      <c r="A8" s="7" t="s">
        <v>507</v>
      </c>
      <c r="B8" s="7" t="s">
        <v>508</v>
      </c>
      <c r="C8" s="7" t="s">
        <v>509</v>
      </c>
      <c r="D8" s="7" t="s">
        <v>510</v>
      </c>
      <c r="E8" s="7" t="s">
        <v>511</v>
      </c>
      <c r="F8" s="7" t="s">
        <v>481</v>
      </c>
      <c r="G8" s="9"/>
      <c r="H8" s="9"/>
    </row>
    <row r="9" customFormat="false" ht="23.85" hidden="false" customHeight="false" outlineLevel="0" collapsed="false">
      <c r="A9" s="8" t="s">
        <v>512</v>
      </c>
      <c r="B9" s="8" t="s">
        <v>513</v>
      </c>
      <c r="C9" s="8" t="s">
        <v>514</v>
      </c>
      <c r="D9" s="8" t="s">
        <v>515</v>
      </c>
      <c r="E9" s="8" t="s">
        <v>496</v>
      </c>
      <c r="F9" s="8" t="s">
        <v>481</v>
      </c>
      <c r="G9" s="9"/>
      <c r="H9" s="9"/>
    </row>
  </sheetData>
  <autoFilter ref="A1:H9"/>
  <dataValidations count="1">
    <dataValidation allowBlank="false" errorStyle="stop" operator="between" showDropDown="false" showErrorMessage="false" showInputMessage="false" sqref="F2:F9" type="list">
      <formula1>"Open,Proposed,Agreed,Superseded"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0"/>
  </cols>
  <sheetData>
    <row r="1" customFormat="false" ht="27.75" hidden="false" customHeight="true" outlineLevel="0" collapsed="false">
      <c r="A1" s="6" t="s">
        <v>381</v>
      </c>
      <c r="B1" s="6" t="s">
        <v>516</v>
      </c>
    </row>
    <row r="2" customFormat="false" ht="23.85" hidden="false" customHeight="false" outlineLevel="0" collapsed="false">
      <c r="A2" s="7" t="s">
        <v>517</v>
      </c>
      <c r="B2" s="7" t="s">
        <v>518</v>
      </c>
    </row>
    <row r="3" customFormat="false" ht="15" hidden="false" customHeight="false" outlineLevel="0" collapsed="false">
      <c r="A3" s="8" t="s">
        <v>519</v>
      </c>
      <c r="B3" s="8" t="s">
        <v>520</v>
      </c>
    </row>
    <row r="4" customFormat="false" ht="15" hidden="false" customHeight="false" outlineLevel="0" collapsed="false">
      <c r="A4" s="7" t="s">
        <v>521</v>
      </c>
      <c r="B4" s="7" t="s">
        <v>522</v>
      </c>
    </row>
    <row r="5" customFormat="false" ht="15" hidden="false" customHeight="false" outlineLevel="0" collapsed="false">
      <c r="A5" s="8" t="s">
        <v>523</v>
      </c>
      <c r="B5" s="8" t="s">
        <v>524</v>
      </c>
    </row>
    <row r="6" customFormat="false" ht="15" hidden="false" customHeight="false" outlineLevel="0" collapsed="false">
      <c r="A6" s="7" t="s">
        <v>525</v>
      </c>
      <c r="B6" s="7" t="s">
        <v>526</v>
      </c>
    </row>
    <row r="7" customFormat="false" ht="15" hidden="false" customHeight="false" outlineLevel="0" collapsed="false">
      <c r="A7" s="8" t="s">
        <v>527</v>
      </c>
      <c r="B7" s="8" t="s">
        <v>528</v>
      </c>
    </row>
  </sheetData>
  <autoFilter ref="A1:B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00"/>
  </cols>
  <sheetData>
    <row r="1" customFormat="false" ht="27.75" hidden="false" customHeight="true" outlineLevel="0" collapsed="false">
      <c r="A1" s="6" t="s">
        <v>384</v>
      </c>
      <c r="B1" s="6" t="s">
        <v>529</v>
      </c>
    </row>
    <row r="2" customFormat="false" ht="15" hidden="false" customHeight="false" outlineLevel="0" collapsed="false">
      <c r="A2" s="7" t="s">
        <v>530</v>
      </c>
      <c r="B2" s="7" t="s">
        <v>531</v>
      </c>
    </row>
    <row r="3" customFormat="false" ht="15" hidden="false" customHeight="false" outlineLevel="0" collapsed="false">
      <c r="A3" s="8" t="s">
        <v>532</v>
      </c>
      <c r="B3" s="8" t="s">
        <v>533</v>
      </c>
    </row>
    <row r="4" customFormat="false" ht="15" hidden="false" customHeight="false" outlineLevel="0" collapsed="false">
      <c r="A4" s="7" t="s">
        <v>534</v>
      </c>
      <c r="B4" s="7" t="s">
        <v>535</v>
      </c>
    </row>
    <row r="5" customFormat="false" ht="15" hidden="false" customHeight="false" outlineLevel="0" collapsed="false">
      <c r="A5" s="8" t="s">
        <v>536</v>
      </c>
      <c r="B5" s="8" t="s">
        <v>537</v>
      </c>
    </row>
    <row r="6" customFormat="false" ht="15" hidden="false" customHeight="false" outlineLevel="0" collapsed="false">
      <c r="A6" s="7" t="s">
        <v>538</v>
      </c>
      <c r="B6" s="7" t="s">
        <v>539</v>
      </c>
    </row>
    <row r="7" customFormat="false" ht="15" hidden="false" customHeight="false" outlineLevel="0" collapsed="false">
      <c r="A7" s="8" t="s">
        <v>540</v>
      </c>
      <c r="B7" s="8" t="s">
        <v>541</v>
      </c>
    </row>
    <row r="8" customFormat="false" ht="15" hidden="false" customHeight="false" outlineLevel="0" collapsed="false">
      <c r="A8" s="7" t="s">
        <v>542</v>
      </c>
      <c r="B8" s="7" t="s">
        <v>543</v>
      </c>
    </row>
  </sheetData>
  <autoFilter ref="A1:B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2026-10-03T14:53:48Z</dcterms:created>
  <dc:creator>openpyxl</dc:creator>
  <dc:description/>
  <dc:language>en-US</dc:language>
  <cp:lastModifiedBy/>
  <dcterms:modified xsi:type="dcterms:W3CDTF">2026-10-03T14:53:48Z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