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comments1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PI operations" sheetId="2" state="visible" r:id="rId4"/>
    <sheet name="Request fields" sheetId="3" state="visible" r:id="rId5"/>
    <sheet name="Response fields" sheetId="4" state="visible" r:id="rId6"/>
    <sheet name="Errors" sheetId="5" state="visible" r:id="rId7"/>
    <sheet name="Complete call fields" sheetId="6" state="visible" r:id="rId8"/>
    <sheet name="ID mapping" sheetId="7" state="visible" r:id="rId9"/>
    <sheet name="Mapping rules" sheetId="8" state="visible" r:id="rId10"/>
    <sheet name="File states" sheetId="9" state="visible" r:id="rId11"/>
    <sheet name="Events" sheetId="10" state="visible" r:id="rId12"/>
    <sheet name="Policy defaults" sheetId="11" state="visible" r:id="rId13"/>
    <sheet name="Build components" sheetId="12" state="visible" r:id="rId14"/>
    <sheet name="Boomi assumptions" sheetId="13" state="visible" r:id="rId15"/>
    <sheet name="Open decisions" sheetId="14" state="visible" r:id="rId16"/>
    <sheet name="References" sheetId="15" state="visible" r:id="rId17"/>
  </sheets>
  <definedNames>
    <definedName function="false" hidden="true" localSheetId="1" name="_xlnm._FilterDatabase" vbProcedure="false">'API operations'!$A$1:$E$4</definedName>
    <definedName function="false" hidden="true" localSheetId="12" name="_xlnm._FilterDatabase" vbProcedure="false">'Boomi assumptions'!$A$1:$G$15</definedName>
    <definedName function="false" hidden="true" localSheetId="11" name="_xlnm._FilterDatabase" vbProcedure="false">'Build components'!$A$1:$C$12</definedName>
    <definedName function="false" hidden="true" localSheetId="5" name="_xlnm._FilterDatabase" vbProcedure="false">'Complete call fields'!$A$1:$D$5</definedName>
    <definedName function="false" hidden="true" localSheetId="4" name="_xlnm._FilterDatabase" vbProcedure="false">Errors!$A$1:$D$13</definedName>
    <definedName function="false" hidden="true" localSheetId="9" name="_xlnm._FilterDatabase" vbProcedure="false">Events!$A$1:$D$6</definedName>
    <definedName function="false" hidden="true" localSheetId="8" name="_xlnm._FilterDatabase" vbProcedure="false">'File states'!$A$1:$C$8</definedName>
    <definedName function="false" hidden="true" localSheetId="6" name="_xlnm._FilterDatabase" vbProcedure="false">'ID mapping'!$A$1:$D$9</definedName>
    <definedName function="false" hidden="true" localSheetId="7" name="_xlnm._FilterDatabase" vbProcedure="false">'Mapping rules'!$A$1:$B$9</definedName>
    <definedName function="false" hidden="true" localSheetId="13" name="_xlnm._FilterDatabase" vbProcedure="false">'Open decisions'!$A$1:$H$9</definedName>
    <definedName function="false" hidden="true" localSheetId="10" name="_xlnm._FilterDatabase" vbProcedure="false">'Policy defaults'!$A$1:$C$9</definedName>
    <definedName function="false" hidden="true" localSheetId="14" name="_xlnm._FilterDatabase" vbProcedure="false">References!$A$1:$B$8</definedName>
    <definedName function="false" hidden="true" localSheetId="2" name="_xlnm._FilterDatabase" vbProcedure="false">'Request fields'!$A$1:$F$16</definedName>
    <definedName function="false" hidden="true" localSheetId="3" name="_xlnm._FilterDatabase" vbProcedure="false">'Response fields'!$A$1:$D$18</definedName>
  </definedNames>
  <calcPr iterateCount="100" refMode="A1" iterate="false" iterateDelta="0.0001"/>
  <extLst>
    <ext xmlns:loext="http://schemas.libreoffice.org/" uri="{7626C862-2A13-11E5-B345-FEFF819CDC9F}">
      <loext:extCalcPr stringRefSyntax="ExcelA1"/>
    </ext>
  </extLst>
</workbook>
</file>

<file path=xl/comments14.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Fill in the named person once the owner role has nominated someone.</t>
        </r>
      </text>
    </comment>
  </commentList>
</comments>
</file>

<file path=xl/sharedStrings.xml><?xml version="1.0" encoding="utf-8"?>
<sst xmlns="http://schemas.openxmlformats.org/spreadsheetml/2006/main" count="602" uniqueCount="467">
  <si>
    <t xml:space="preserve">File Upload Request API: integration specification workbook</t>
  </si>
  <si>
    <t xml:space="preserve">Integration design: Boomi API Management, Boomi MFT and Boomi Event Streams</t>
  </si>
  <si>
    <t xml:space="preserve">IDD-FT-001  |  version 0.1 (draft)  |  3 October 2026  |  Draft for design authority review</t>
  </si>
  <si>
    <t xml:space="preserve">How to use this workbook</t>
  </si>
  <si>
    <t xml:space="preserve">Each tab is generated from the same data file as the Word design document, the draw.io diagrams and the OpenAPI and AsyncAPI contracts, so they stay in step.</t>
  </si>
  <si>
    <t xml:space="preserve">Yellow cells on the Open decisions and Boomi assumptions tabs are for the review: record the owner, the decision and whether the assumption has been validated.</t>
  </si>
  <si>
    <t xml:space="preserve">Open decisions has a drop-down in the Status column (Open, Proposed, Agreed, Superseded). The counts below update from it.</t>
  </si>
  <si>
    <t xml:space="preserve">Example rows: every tab carries the real design content, not placeholders; edit in place and keep the IDs stable for traceability.</t>
  </si>
  <si>
    <t xml:space="preserve">Summary</t>
  </si>
  <si>
    <t xml:space="preserve">Open decisions (status Open)</t>
  </si>
  <si>
    <t xml:space="preserve">Decisions agreed</t>
  </si>
  <si>
    <t xml:space="preserve">Boomi assumptions validated (Yes)</t>
  </si>
  <si>
    <t xml:space="preserve">Boomi assumptions in total</t>
  </si>
  <si>
    <t xml:space="preserve">Request fields</t>
  </si>
  <si>
    <t xml:space="preserve">Events</t>
  </si>
  <si>
    <t xml:space="preserve">Method</t>
  </si>
  <si>
    <t xml:space="preserve">Path (base https://api.hip.example/file-transfer/v1)</t>
  </si>
  <si>
    <t xml:space="preserve">Purpose</t>
  </si>
  <si>
    <t xml:space="preserve">Responses</t>
  </si>
  <si>
    <t xml:space="preserve">Role</t>
  </si>
  <si>
    <t xml:space="preserve">POST</t>
  </si>
  <si>
    <t xml:space="preserve">/file_uploads</t>
  </si>
  <si>
    <t xml:space="preserve">Request upload URLs for 1 to 10 documents</t>
  </si>
  <si>
    <t xml:space="preserve">201, 400, 401, 403, 409, 422, 429, 500, 503</t>
  </si>
  <si>
    <t xml:space="preserve">Primary</t>
  </si>
  <si>
    <t xml:space="preserve">/file_uploads/{fileCollectionId}/files/{fileId}/complete</t>
  </si>
  <si>
    <t xml:space="preserve">Complete a multipart upload</t>
  </si>
  <si>
    <t xml:space="preserve">202, 400, 404, 409, 410, 502</t>
  </si>
  <si>
    <t xml:space="preserve">Supporting</t>
  </si>
  <si>
    <t xml:space="preserve">GET</t>
  </si>
  <si>
    <t xml:space="preserve">/file_uploads/{fileCollectionId}</t>
  </si>
  <si>
    <t xml:space="preserve">Collection and per-file status</t>
  </si>
  <si>
    <t xml:space="preserve">200, 404</t>
  </si>
  <si>
    <t xml:space="preserve">Name</t>
  </si>
  <si>
    <t xml:space="preserve">Type</t>
  </si>
  <si>
    <t xml:space="preserve">Required</t>
  </si>
  <si>
    <t xml:space="preserve">Constraints</t>
  </si>
  <si>
    <t xml:space="preserve">Description</t>
  </si>
  <si>
    <t xml:space="preserve">Location</t>
  </si>
  <si>
    <t xml:space="preserve">Authorization</t>
  </si>
  <si>
    <t xml:space="preserve">string</t>
  </si>
  <si>
    <t xml:space="preserve">Yes</t>
  </si>
  <si>
    <t xml:space="preserve">Bearer access token</t>
  </si>
  <si>
    <t xml:space="preserve">OAuth2 client credentials token issued to the consumer. Scope file-transfer.upload.request required.</t>
  </si>
  <si>
    <t xml:space="preserve">Header</t>
  </si>
  <si>
    <t xml:space="preserve">Content-Type</t>
  </si>
  <si>
    <t xml:space="preserve">application/json</t>
  </si>
  <si>
    <t xml:space="preserve">X-Correlation-ID</t>
  </si>
  <si>
    <t xml:space="preserve">UUID</t>
  </si>
  <si>
    <t xml:space="preserve">No</t>
  </si>
  <si>
    <t xml:space="preserve">If present must equal body correlationId</t>
  </si>
  <si>
    <t xml:space="preserve">Gateway generates one when absent and the body value is then authoritative. Returned on every response and carried on every event.</t>
  </si>
  <si>
    <t xml:space="preserve">Idempotency-Key</t>
  </si>
  <si>
    <t xml:space="preserve">Unique per logical request, 24 h retention</t>
  </si>
  <si>
    <t xml:space="preserve">Replay with the same key and same body returns the stored response. Same key with a different body returns 409.</t>
  </si>
  <si>
    <t xml:space="preserve">correlationId</t>
  </si>
  <si>
    <t xml:space="preserve">string (UUID)</t>
  </si>
  <si>
    <t xml:space="preserve">36 chars</t>
  </si>
  <si>
    <t xml:space="preserve">End-to-end correlation id supplied by the consumer. Logged on every Boomi execution, written to the registry and carried on all events.</t>
  </si>
  <si>
    <t xml:space="preserve">Body</t>
  </si>
  <si>
    <t xml:space="preserve">sourceSystem</t>
  </si>
  <si>
    <t xml:space="preserve">^[A-Z0-9-]{3,20}$; must be registered against the OAuth2 client id</t>
  </si>
  <si>
    <t xml:space="preserve">Consumer system code. Selects the upload policy row (limits, bucket prefix, MFT flow).</t>
  </si>
  <si>
    <t xml:space="preserve">businessReference</t>
  </si>
  <si>
    <t xml:space="preserve">max 64</t>
  </si>
  <si>
    <t xml:space="preserve">Business key the documents relate to (for example a thread or case reference). Echoed on events.</t>
  </si>
  <si>
    <t xml:space="preserve">contextAttributes</t>
  </si>
  <si>
    <t xml:space="preserve">object (string to string)</t>
  </si>
  <si>
    <t xml:space="preserve">max 10 entries; key max 40, value max 128</t>
  </si>
  <si>
    <t xml:space="preserve">Opaque attributes passed through to events. Not used for routing.</t>
  </si>
  <si>
    <t xml:space="preserve">documents</t>
  </si>
  <si>
    <t xml:space="preserve">array</t>
  </si>
  <si>
    <t xml:space="preserve">1 to maxDocumentsPerRequest (default 10)</t>
  </si>
  <si>
    <t xml:space="preserve">One element per file to upload. Each accepted element receives its own fileId and presigned URL(s).</t>
  </si>
  <si>
    <t xml:space="preserve">documents[].externalDocumentId</t>
  </si>
  <si>
    <t xml:space="preserve">^[A-Za-z0-9._:-]{1,64}$; unique within the request</t>
  </si>
  <si>
    <t xml:space="preserve">Consumer's identifier for the document. Echoed on the matching response element and every event for that file.</t>
  </si>
  <si>
    <t xml:space="preserve">documents[].documentName</t>
  </si>
  <si>
    <t xml:space="preserve">1 to 255 chars; no path separators or control characters</t>
  </si>
  <si>
    <t xml:space="preserve">Original file name. Stored in the registry only; never used in object keys or MFT file names.</t>
  </si>
  <si>
    <t xml:space="preserve">documents[].fileSizeBytes</t>
  </si>
  <si>
    <t xml:space="preserve">integer (int64)</t>
  </si>
  <si>
    <t xml:space="preserve">1 to maxFileSizeBytes</t>
  </si>
  <si>
    <t xml:space="preserve">Declared size. Drives the SINGLE or MULTIPART decision and the size check.</t>
  </si>
  <si>
    <t xml:space="preserve">documents[].mimeType</t>
  </si>
  <si>
    <t xml:space="preserve">in policy allowedMimeTypes</t>
  </si>
  <si>
    <t xml:space="preserve">Declared content type. MFT re-validates during scanning.</t>
  </si>
  <si>
    <t xml:space="preserve">documents[].checksumSha256</t>
  </si>
  <si>
    <t xml:space="preserve">string (base64)</t>
  </si>
  <si>
    <t xml:space="preserve">Conditional</t>
  </si>
  <si>
    <t xml:space="preserve">44 chars base64; required for files at or below singleUploadMaxBytes</t>
  </si>
  <si>
    <t xml:space="preserve">SHA-256 of the file. Signed into the single PUT URL so S3 rejects any bytes that do not match.</t>
  </si>
  <si>
    <t xml:space="preserve">documents[].documentType</t>
  </si>
  <si>
    <t xml:space="preserve">policy code, default GENERAL</t>
  </si>
  <si>
    <t xml:space="preserve">Business document category. Selects a policy override when one exists.</t>
  </si>
  <si>
    <t xml:space="preserve">Present</t>
  </si>
  <si>
    <t xml:space="preserve">fileCollectionId</t>
  </si>
  <si>
    <t xml:space="preserve">Always</t>
  </si>
  <si>
    <t xml:space="preserve">Boomi-issued id for this request (one per request). Use it for status queries and to match events.</t>
  </si>
  <si>
    <t xml:space="preserve">Echo of the request value.</t>
  </si>
  <si>
    <t xml:space="preserve">status</t>
  </si>
  <si>
    <t xml:space="preserve">enum</t>
  </si>
  <si>
    <t xml:space="preserve">PENDING_UPLOAD at creation. Later values: IN_PROGRESS, COMPLETED, COMPLETED_WITH_ERRORS, EXPIRED.</t>
  </si>
  <si>
    <t xml:space="preserve">createdAt / expiresAt</t>
  </si>
  <si>
    <t xml:space="preserve">string (date-time, UTC)</t>
  </si>
  <si>
    <t xml:space="preserve">expiresAt = createdAt + urlTtlSeconds. Files not uploaded by then become EXPIRED.</t>
  </si>
  <si>
    <t xml:space="preserve">acceptedCount / rejectedCount</t>
  </si>
  <si>
    <t xml:space="preserve">integer</t>
  </si>
  <si>
    <t xml:space="preserve">Counts of files[] elements by outcome.</t>
  </si>
  <si>
    <t xml:space="preserve">files[].externalDocumentId</t>
  </si>
  <si>
    <t xml:space="preserve">Echo of the request element. The key the consumer uses to match each result; do not rely on array order.</t>
  </si>
  <si>
    <t xml:space="preserve">files[].fileId</t>
  </si>
  <si>
    <t xml:space="preserve">Accepted files</t>
  </si>
  <si>
    <t xml:space="preserve">Boomi-issued id for one file. Used in the object key, as the MFT file name and on every event.</t>
  </si>
  <si>
    <t xml:space="preserve">files[].status</t>
  </si>
  <si>
    <t xml:space="preserve">URL_ISSUED or REJECTED in this response.</t>
  </si>
  <si>
    <t xml:space="preserve">files[].uploadStrategy</t>
  </si>
  <si>
    <t xml:space="preserve">SINGLE (one PUT) or MULTIPART (one PUT per part then a complete call).</t>
  </si>
  <si>
    <t xml:space="preserve">files[].upload.method</t>
  </si>
  <si>
    <t xml:space="preserve">Always PUT.</t>
  </si>
  <si>
    <t xml:space="preserve">files[].upload.url</t>
  </si>
  <si>
    <t xml:space="preserve">string (uri)</t>
  </si>
  <si>
    <t xml:space="preserve">SINGLE</t>
  </si>
  <si>
    <t xml:space="preserve">Presigned PUT URL (SigV4, host and x-amz-checksum-sha256 signed).</t>
  </si>
  <si>
    <t xml:space="preserve">files[].upload.requiredHeaders</t>
  </si>
  <si>
    <t xml:space="preserve">object</t>
  </si>
  <si>
    <t xml:space="preserve">Headers the client must send unchanged with the PUT.</t>
  </si>
  <si>
    <t xml:space="preserve">files[].upload.partSizeBytes / partCount</t>
  </si>
  <si>
    <t xml:space="preserve">MULTIPART</t>
  </si>
  <si>
    <t xml:space="preserve">Every part except the last must be exactly partSizeBytes.</t>
  </si>
  <si>
    <t xml:space="preserve">files[].upload.parts[]</t>
  </si>
  <si>
    <t xml:space="preserve">partNumber and presigned url per part.</t>
  </si>
  <si>
    <t xml:space="preserve">files[].upload.completeUrl</t>
  </si>
  <si>
    <t xml:space="preserve">API operation to call once all parts are uploaded.</t>
  </si>
  <si>
    <t xml:space="preserve">files[].upload.expiresAt</t>
  </si>
  <si>
    <t xml:space="preserve">string (date-time)</t>
  </si>
  <si>
    <t xml:space="preserve">URL expiry. Equal to the collection expiresAt in this version.</t>
  </si>
  <si>
    <t xml:space="preserve">files[].rejection.code / detail</t>
  </si>
  <si>
    <t xml:space="preserve">REJECTED</t>
  </si>
  <si>
    <t xml:space="preserve">FILE_TOO_LARGE, FILE_EMPTY, MIME_TYPE_NOT_ALLOWED, CHECKSUM_REQUIRED, NAME_INVALID.</t>
  </si>
  <si>
    <t xml:space="preserve">HTTP status</t>
  </si>
  <si>
    <t xml:space="preserve">code</t>
  </si>
  <si>
    <t xml:space="preserve">When</t>
  </si>
  <si>
    <t xml:space="preserve">Retry</t>
  </si>
  <si>
    <t xml:space="preserve">400</t>
  </si>
  <si>
    <t xml:space="preserve">INVALID_REQUEST</t>
  </si>
  <si>
    <t xml:space="preserve">Body fails JSON schema validation (gateway or Boomi).</t>
  </si>
  <si>
    <t xml:space="preserve">DUPLICATE_EXTERNAL_ID_IN_REQUEST</t>
  </si>
  <si>
    <t xml:space="preserve">Same externalDocumentId twice in documents[].</t>
  </si>
  <si>
    <t xml:space="preserve">CORRELATION_ID_MISMATCH</t>
  </si>
  <si>
    <t xml:space="preserve">X-Correlation-ID header differs from body correlationId.</t>
  </si>
  <si>
    <t xml:space="preserve">401</t>
  </si>
  <si>
    <t xml:space="preserve">UNAUTHENTICATED</t>
  </si>
  <si>
    <t xml:space="preserve">Missing, expired or invalid token (gateway).</t>
  </si>
  <si>
    <t xml:space="preserve">After new token</t>
  </si>
  <si>
    <t xml:space="preserve">403</t>
  </si>
  <si>
    <t xml:space="preserve">SOURCE_SYSTEM_NOT_PERMITTED</t>
  </si>
  <si>
    <t xml:space="preserve">Token client id is not registered for sourceSystem or lacks scope.</t>
  </si>
  <si>
    <t xml:space="preserve">409</t>
  </si>
  <si>
    <t xml:space="preserve">IDEMPOTENCY_KEY_REUSED</t>
  </si>
  <si>
    <t xml:space="preserve">Idempotency-Key seen before with a different body hash.</t>
  </si>
  <si>
    <t xml:space="preserve">EXTERNAL_ID_IN_USE</t>
  </si>
  <si>
    <t xml:space="preserve">externalDocumentId has a live (URL_ISSUED or UPLOADED) file for the same sourceSystem in another collection.</t>
  </si>
  <si>
    <t xml:space="preserve">After expiry or completion</t>
  </si>
  <si>
    <t xml:space="preserve">422</t>
  </si>
  <si>
    <t xml:space="preserve">TOO_MANY_DOCUMENTS</t>
  </si>
  <si>
    <t xml:space="preserve">documents[] longer than maxDocumentsPerRequest.</t>
  </si>
  <si>
    <t xml:space="preserve">NO_DOCUMENTS_ACCEPTED</t>
  </si>
  <si>
    <t xml:space="preserve">Every document failed a policy rule; files[] carries the reason per document.</t>
  </si>
  <si>
    <t xml:space="preserve">429</t>
  </si>
  <si>
    <t xml:space="preserve">RATE_LIMITED</t>
  </si>
  <si>
    <t xml:space="preserve">Gateway quota exceeded. Retry-After header returned.</t>
  </si>
  <si>
    <t xml:space="preserve">Yes, after Retry-After</t>
  </si>
  <si>
    <t xml:space="preserve">500</t>
  </si>
  <si>
    <t xml:space="preserve">INTERNAL_ERROR</t>
  </si>
  <si>
    <t xml:space="preserve">Unhandled Boomi process error. Nothing committed.</t>
  </si>
  <si>
    <t xml:space="preserve">Yes, same Idempotency-Key</t>
  </si>
  <si>
    <t xml:space="preserve">503</t>
  </si>
  <si>
    <t xml:space="preserve">DEPENDENCY_UNAVAILABLE</t>
  </si>
  <si>
    <t xml:space="preserve">Registry or S3 (multipart create) unavailable. Nothing committed.</t>
  </si>
  <si>
    <t xml:space="preserve">Same value as the original request.</t>
  </si>
  <si>
    <t xml:space="preserve">parts[]</t>
  </si>
  <si>
    <t xml:space="preserve">Every uploaded part, ascending partNumber, no gaps.</t>
  </si>
  <si>
    <t xml:space="preserve">parts[].partNumber</t>
  </si>
  <si>
    <t xml:space="preserve">1 to partCount.</t>
  </si>
  <si>
    <t xml:space="preserve">parts[].eTag</t>
  </si>
  <si>
    <t xml:space="preserve">ETag header returned by S3 for that part, quotes included.</t>
  </si>
  <si>
    <t xml:space="preserve">Identifier</t>
  </si>
  <si>
    <t xml:space="preserve">Issued by</t>
  </si>
  <si>
    <t xml:space="preserve">Scope</t>
  </si>
  <si>
    <t xml:space="preserve">Consumer</t>
  </si>
  <si>
    <t xml:space="preserve">Request</t>
  </si>
  <si>
    <t xml:space="preserve">One per request; on every log line and event.</t>
  </si>
  <si>
    <t xml:space="preserve">Request header</t>
  </si>
  <si>
    <t xml:space="preserve">One per logical request; replay protection.</t>
  </si>
  <si>
    <t xml:space="preserve">externalDocumentId</t>
  </si>
  <si>
    <t xml:space="preserve">Per document in request</t>
  </si>
  <si>
    <t xml:space="preserve">Consumer's key. Echoed on the response element and every event for that file.</t>
  </si>
  <si>
    <t xml:space="preserve">Boomi process P01</t>
  </si>
  <si>
    <t xml:space="preserve">Per request</t>
  </si>
  <si>
    <t xml:space="preserve">Groups all files of one request; status and collection events.</t>
  </si>
  <si>
    <t xml:space="preserve">fileId</t>
  </si>
  <si>
    <t xml:space="preserve">Per accepted document</t>
  </si>
  <si>
    <t xml:space="preserve">Internal key. Object key segment, MFT file name, event key.</t>
  </si>
  <si>
    <t xml:space="preserve">S3 object key / uploadId</t>
  </si>
  <si>
    <t xml:space="preserve">P01 / S3</t>
  </si>
  <si>
    <t xml:space="preserve">Per file</t>
  </si>
  <si>
    <t xml:space="preserve">landing/{sourceSystem}/{fileCollectionId}/{fileId}; uploadId only for MULTIPART.</t>
  </si>
  <si>
    <t xml:space="preserve">mftFileCode</t>
  </si>
  <si>
    <t xml:space="preserve">Boomi MFT</t>
  </si>
  <si>
    <t xml:space="preserve">Per file, on pickup</t>
  </si>
  <si>
    <t xml:space="preserve">MFT's own file identifier, captured by P03 from the audit record and stored in the registry.</t>
  </si>
  <si>
    <t xml:space="preserve">Downstream document id</t>
  </si>
  <si>
    <t xml:space="preserve">Target system</t>
  </si>
  <si>
    <t xml:space="preserve">After onward transfer</t>
  </si>
  <si>
    <t xml:space="preserve">Out of scope here; added to the registry by the onward transfer process.</t>
  </si>
  <si>
    <t xml:space="preserve">ID</t>
  </si>
  <si>
    <t xml:space="preserve">Rule</t>
  </si>
  <si>
    <t xml:space="preserve">M-01</t>
  </si>
  <si>
    <t xml:space="preserve">Yes, many documents can be uploaded in one request: documents[] holds 1 to 10 elements (policy maxDocumentsPerRequest). Each file still uploads separately, to its own URL.</t>
  </si>
  <si>
    <t xml:space="preserve">M-02</t>
  </si>
  <si>
    <t xml:space="preserve">One request creates one fileCollectionId. Each accepted document gets one fileId and one presigned URL (SINGLE) or one URL per part (MULTIPART). A URL can only write the one object it was signed for.</t>
  </si>
  <si>
    <t xml:space="preserve">M-03</t>
  </si>
  <si>
    <t xml:space="preserve">The response returns one files[] element per request element, each carrying the consumer's externalDocumentId next to the Boomi fileId. Consumers match on externalDocumentId, never on array position.</t>
  </si>
  <si>
    <t xml:space="preserve">M-04</t>
  </si>
  <si>
    <t xml:space="preserve">externalDocumentId must be unique within the request (else 400) and must not have a live file for the same sourceSystem in another collection (else 409 EXTERNAL_ID_IN_USE).</t>
  </si>
  <si>
    <t xml:space="preserve">M-05</t>
  </si>
  <si>
    <t xml:space="preserve">fileId is the only identifier that travels through S3 and MFT: it is the last segment of the object key and therefore the MFT file name. P03 resolves fileId back to externalDocumentId, fileCollectionId and correlationId from the registry, so no consumer data needs to survive the MFT leg.</t>
  </si>
  <si>
    <t xml:space="preserve">M-06</t>
  </si>
  <si>
    <t xml:space="preserve">documentName is never used in keys or MFT names (PII and path safety). It is stored in the registry and carried on document_upload_requested.</t>
  </si>
  <si>
    <t xml:space="preserve">M-07</t>
  </si>
  <si>
    <t xml:space="preserve">Acceptance is per document. If some documents fail policy checks the request still returns 201 with those elements marked REJECTED; only when none pass is 422 returned.</t>
  </si>
  <si>
    <t xml:space="preserve">M-08</t>
  </si>
  <si>
    <t xml:space="preserve">Every per-file event carries fileCollectionId, fileId, externalDocumentId and correlationId. file_collection_completed is emitted once when all files are terminal.</t>
  </si>
  <si>
    <t xml:space="preserve">State</t>
  </si>
  <si>
    <t xml:space="preserve">Set by</t>
  </si>
  <si>
    <t xml:space="preserve">Meaning</t>
  </si>
  <si>
    <t xml:space="preserve">URL_ISSUED</t>
  </si>
  <si>
    <t xml:space="preserve">P01</t>
  </si>
  <si>
    <t xml:space="preserve">URLs issued, waiting for bytes.</t>
  </si>
  <si>
    <t xml:space="preserve">UPLOADED</t>
  </si>
  <si>
    <t xml:space="preserve">P02 (MULTIPART) or P03</t>
  </si>
  <si>
    <t xml:space="preserve">Bytes in landing bucket (multipart assembled).</t>
  </si>
  <si>
    <t xml:space="preserve">AVAILABLE</t>
  </si>
  <si>
    <t xml:space="preserve">P03</t>
  </si>
  <si>
    <t xml:space="preserve">MFT scanned and delivered to clean staging. Terminal.</t>
  </si>
  <si>
    <t xml:space="preserve">QUARANTINED</t>
  </si>
  <si>
    <t xml:space="preserve">Blocked by MFT anti virus or rule. Terminal.</t>
  </si>
  <si>
    <t xml:space="preserve">FAILED</t>
  </si>
  <si>
    <t xml:space="preserve">MFT transfer failed after retries. Terminal.</t>
  </si>
  <si>
    <t xml:space="preserve">EXPIRED</t>
  </si>
  <si>
    <t xml:space="preserve">P04</t>
  </si>
  <si>
    <t xml:space="preserve">No upload before expiresAt. Terminal.</t>
  </si>
  <si>
    <t xml:space="preserve">Failed policy check at request time; no URL issued. Terminal.</t>
  </si>
  <si>
    <t xml:space="preserve">Event</t>
  </si>
  <si>
    <t xml:space="preserve">Emitted when</t>
  </si>
  <si>
    <t xml:space="preserve">Data fields</t>
  </si>
  <si>
    <t xml:space="preserve">Typical subscribers</t>
  </si>
  <si>
    <t xml:space="preserve">document_upload_requested</t>
  </si>
  <si>
    <t xml:space="preserve">Upload URLs issued for a collection (P01, step 15)</t>
  </si>
  <si>
    <t xml:space="preserve">fileCollectionId, sourceSystem, businessReference, contextAttributes, expiresAt, files[]{fileId, externalDocumentId, documentName, fileSizeBytes, mimeType, uploadStrategy}</t>
  </si>
  <si>
    <t xml:space="preserve">Consumer back end, audit</t>
  </si>
  <si>
    <t xml:space="preserve">file_upload_succeeded</t>
  </si>
  <si>
    <t xml:space="preserve">File passed MFT scan and is in clean staging (P03)</t>
  </si>
  <si>
    <t xml:space="preserve">fileCollectionId, fileId, externalDocumentId, mftFileCode, stagingLocation, fileSizeBytes, checksumSha256, scannedAt</t>
  </si>
  <si>
    <t xml:space="preserve">Consumer back end, downstream transfer (for example eDMS)</t>
  </si>
  <si>
    <t xml:space="preserve">file_upload_failed</t>
  </si>
  <si>
    <t xml:space="preserve">File blocked by MFT (AV or rule) or transfer failed (P03)</t>
  </si>
  <si>
    <t xml:space="preserve">fileCollectionId, fileId, externalDocumentId, mftFileCode, reasonCode (AV_INFECTED, TYPE_MISMATCH, MFT_TRANSFER_FAILED), reasonDetail</t>
  </si>
  <si>
    <t xml:space="preserve">Consumer back end, security operations</t>
  </si>
  <si>
    <t xml:space="preserve">file_upload_expired</t>
  </si>
  <si>
    <t xml:space="preserve">URL lifetime passed with no upload (P04)</t>
  </si>
  <si>
    <t xml:space="preserve">fileCollectionId, fileId, externalDocumentId, expiresAt</t>
  </si>
  <si>
    <t xml:space="preserve">Consumer back end</t>
  </si>
  <si>
    <t xml:space="preserve">file_collection_completed</t>
  </si>
  <si>
    <t xml:space="preserve">Every file in the collection reached a terminal state</t>
  </si>
  <si>
    <t xml:space="preserve">fileCollectionId, status, counts{available, failed, expired, rejected}</t>
  </si>
  <si>
    <t xml:space="preserve">Setting</t>
  </si>
  <si>
    <t xml:space="preserve">Default</t>
  </si>
  <si>
    <t xml:space="preserve">Notes</t>
  </si>
  <si>
    <t xml:space="preserve">maxDocumentsPerRequest</t>
  </si>
  <si>
    <t xml:space="preserve">10</t>
  </si>
  <si>
    <t xml:space="preserve">Upper bound on documents[] length. Above this the whole request is rejected (422 TOO_MANY_DOCUMENTS).</t>
  </si>
  <si>
    <t xml:space="preserve">maxFileSizeBytes</t>
  </si>
  <si>
    <t xml:space="preserve">262144000 (250 MiB)</t>
  </si>
  <si>
    <t xml:space="preserve">Tied to tracked gap G-15 (AV scan ceiling about 250 MB). Larger files are rejected per document until D-03 is closed.</t>
  </si>
  <si>
    <t xml:space="preserve">singleUploadMaxBytes</t>
  </si>
  <si>
    <t xml:space="preserve">104857600 (100 MiB)</t>
  </si>
  <si>
    <t xml:space="preserve">At or below this a single presigned PUT is issued; above it the file is uploaded in parts (multipart).</t>
  </si>
  <si>
    <t xml:space="preserve">partSizeBytes</t>
  </si>
  <si>
    <t xml:space="preserve">16777216 (16 MiB)</t>
  </si>
  <si>
    <t xml:space="preserve">Part size for multipart uploads. A 250 MiB file needs 16 parts.</t>
  </si>
  <si>
    <t xml:space="preserve">urlTtlSeconds</t>
  </si>
  <si>
    <t xml:space="preserve">900</t>
  </si>
  <si>
    <t xml:space="preserve">Lifetime of every presigned URL and of the file collection. Must not exceed the lifetime of the signing credential.</t>
  </si>
  <si>
    <t xml:space="preserve">allowedMimeTypes</t>
  </si>
  <si>
    <t xml:space="preserve">application/pdf, image/jpeg, image/png, image/tiff, text/csv, application/vnd.openxmlformats-officedocument.wordprocessingml.document, application/vnd.openxmlformats-officedocument.spreadsheetml.sheet</t>
  </si>
  <si>
    <t xml:space="preserve">Checked against the declared mimeType. MFT re-checks the content type during scanning.</t>
  </si>
  <si>
    <t xml:space="preserve">landingBucket / prefix</t>
  </si>
  <si>
    <t xml:space="preserve">hip-ft-landing-{env} / landing/{sourceSystem}/</t>
  </si>
  <si>
    <t xml:space="preserve">MFT source endpoint (Amazon S3) for the policy's flow.</t>
  </si>
  <si>
    <t xml:space="preserve">mftFlowCode</t>
  </si>
  <si>
    <t xml:space="preserve">FT-UPLOAD-{sourceSystem}</t>
  </si>
  <si>
    <t xml:space="preserve">Boomi MFT flow that picks up from the landing prefix, scans and delivers to clean staging.</t>
  </si>
  <si>
    <t xml:space="preserve">Component</t>
  </si>
  <si>
    <t xml:space="preserve">Boomi capability</t>
  </si>
  <si>
    <t xml:space="preserve">Responsibility</t>
  </si>
  <si>
    <t xml:space="preserve">API proxy</t>
  </si>
  <si>
    <t xml:space="preserve">Boomi API Management</t>
  </si>
  <si>
    <t xml:space="preserve">POST /file_uploads, POST .../complete, GET /file_uploads/{id}; OAuth2 client credentials, schema validation, quota, correlation id.</t>
  </si>
  <si>
    <t xml:space="preserve">P01 Request Upload URLs</t>
  </si>
  <si>
    <t xml:space="preserve">Boomi process (API Service, Web Services Server listener)</t>
  </si>
  <si>
    <t xml:space="preserve">Idempotency, policy checks, fileId generation, SigV4 signing, multipart create, registry write, document_upload_requested.</t>
  </si>
  <si>
    <t xml:space="preserve">P02 Complete Multipart</t>
  </si>
  <si>
    <t xml:space="preserve">Boomi process (API Service)</t>
  </si>
  <si>
    <t xml:space="preserve">Validates parts, CompleteMultipartUpload, sets UPLOADED.</t>
  </si>
  <si>
    <t xml:space="preserve">P03 MFT Outcome Reconciler</t>
  </si>
  <si>
    <t xml:space="preserve">Boomi process (scheduled 60 s, single node via DB lock)</t>
  </si>
  <si>
    <t xml:space="preserve">Reads MFT AuditLog API, maps fileId, updates registry, publishes outcome and collection events.</t>
  </si>
  <si>
    <t xml:space="preserve">P04 Expiry Sweep</t>
  </si>
  <si>
    <t xml:space="preserve">Boomi process (scheduled 5 min)</t>
  </si>
  <si>
    <t xml:space="preserve">Expires unused files, aborts multipart uploads, publishes file_upload_expired.</t>
  </si>
  <si>
    <t xml:space="preserve">P05 Status Query</t>
  </si>
  <si>
    <t xml:space="preserve">Reads registry for GET /file_uploads/{id}.</t>
  </si>
  <si>
    <t xml:space="preserve">Upload Registry</t>
  </si>
  <si>
    <t xml:space="preserve">Database (Database connector)</t>
  </si>
  <si>
    <t xml:space="preserve">Tables ft_policy, ft_collection, ft_file, ft_idempotency, ft_watermark.</t>
  </si>
  <si>
    <t xml:space="preserve">SigV4 signer</t>
  </si>
  <si>
    <t xml:space="preserve">Groovy Data Process script</t>
  </si>
  <si>
    <t xml:space="preserve">Extended boomi_presign_url.groovy (checksum header, part query parameters).</t>
  </si>
  <si>
    <t xml:space="preserve">Landing and clean buckets</t>
  </si>
  <si>
    <t xml:space="preserve">Amazon S3, Boomi MFT endpoints</t>
  </si>
  <si>
    <t xml:space="preserve">Landing = MFT source; clean staging = MFT target.</t>
  </si>
  <si>
    <t xml:space="preserve">MFT flow FT-UPLOAD-{sourceSystem}</t>
  </si>
  <si>
    <t xml:space="preserve">Schedule pickup, Anti virus flow endpoint, delete source on success.</t>
  </si>
  <si>
    <t xml:space="preserve">Topic file-transfer.upload.events</t>
  </si>
  <si>
    <t xml:space="preserve">Boomi Event Streams</t>
  </si>
  <si>
    <t xml:space="preserve">CloudEvents; one subscription and dead letter topic per consumer.</t>
  </si>
  <si>
    <t xml:space="preserve">Area</t>
  </si>
  <si>
    <t xml:space="preserve">Assumption</t>
  </si>
  <si>
    <t xml:space="preserve">Impact if wrong</t>
  </si>
  <si>
    <t xml:space="preserve">Source</t>
  </si>
  <si>
    <t xml:space="preserve">Validated (Yes/No)</t>
  </si>
  <si>
    <t xml:space="preserve">Validation note</t>
  </si>
  <si>
    <t xml:space="preserve">B-01</t>
  </si>
  <si>
    <t xml:space="preserve">MFT capability</t>
  </si>
  <si>
    <t xml:space="preserve">The Boomi MFT Content API issues presigned URLs for downloads only. Uploads to MFT through the Content API need a credential holding the File Upload privilege, so MFT has no native presigned upload URL. The presigned URL is therefore issued on the S3 landing bucket that Boomi MFT uses as its source endpoint (option A in D-01).</t>
  </si>
  <si>
    <t xml:space="preserve">If MFT adds native presigned uploads, option B becomes simpler; design otherwise unchanged.</t>
  </si>
  <si>
    <t xml:space="preserve">Boomi Content API overview</t>
  </si>
  <si>
    <t xml:space="preserve">B-02</t>
  </si>
  <si>
    <t xml:space="preserve">Boomi MFT supports Amazon S3 as both source and target endpoint type. One MFT flow per policy row: source = landing bucket prefix, Anti virus flow endpoint, target = clean staging bucket prefix. MFT deletes the landing object after a successful transfer.</t>
  </si>
  <si>
    <t xml:space="preserve">If S3 is not usable as source, fall back to option B.</t>
  </si>
  <si>
    <t xml:space="preserve">Boomi MFT endpoint types</t>
  </si>
  <si>
    <t xml:space="preserve">B-03</t>
  </si>
  <si>
    <t xml:space="preserve">Boomi MFT's S3 endpoint still uses ACL requests (bucket ACLs enabled, READ_ACP, GetBucketLocation, plus WRITE, WRITE_ACP or FULL_CONTROL). This conflicts with the AWS default of bucket-owner-enforced object ownership.</t>
  </si>
  <si>
    <t xml:space="preserve">Bucket policy exception needed; tracked as D-05.</t>
  </si>
  <si>
    <t xml:space="preserve">Boomi MFT Amazon S3 endpoint</t>
  </si>
  <si>
    <t xml:space="preserve">B-04</t>
  </si>
  <si>
    <t xml:space="preserve">API</t>
  </si>
  <si>
    <t xml:space="preserve">The API is published through Boomi API Management in front of a Boomi API Service component on a clustered Molecule. The gateway validates the OAuth2 token and scope, validates the JSON schema, applies quotas and injects X-Correlation-ID.</t>
  </si>
  <si>
    <t xml:space="preserve">If the enterprise gateway (Kong) is mandated, the same policies move there (D-02).</t>
  </si>
  <si>
    <t xml:space="preserve">Programme pattern</t>
  </si>
  <si>
    <t xml:space="preserve">B-05</t>
  </si>
  <si>
    <t xml:space="preserve">Process</t>
  </si>
  <si>
    <t xml:space="preserve">URL signing is done in a Groovy Data Process script (the existing boomi_presign_url.groovy SigV4 signer) with no AWS SDK. It is extended to sign the x-amz-checksum-sha256 header for SINGLE and the partNumber and uploadId query parameters for MULTIPART. CreateMultipartUpload, CompleteMultipartUpload and AbortMultipartUpload are called with the Amazon S3 REST connector.</t>
  </si>
  <si>
    <t xml:space="preserve">If the script route is rejected, a small signing service (for example AWS Lambda) is called instead (SDEC OI-26).</t>
  </si>
  <si>
    <t xml:space="preserve">Repo asset boomi_presign_url.groovy</t>
  </si>
  <si>
    <t xml:space="preserve">B-06</t>
  </si>
  <si>
    <t xml:space="preserve">Security</t>
  </si>
  <si>
    <t xml:space="preserve">The signing identity has s3:PutObject (and multipart actions) on the landing prefix only. Credentials sit in encrypted environment extensions until the PAM route is available (gap G-14); temporary STS credentials are preferred. A URL cannot outlive the credential that signed it.</t>
  </si>
  <si>
    <t xml:space="preserve">Short-lived credentials shorter than 900 s would cut URL lifetime.</t>
  </si>
  <si>
    <t xml:space="preserve">Gap G-14</t>
  </si>
  <si>
    <t xml:space="preserve">B-07</t>
  </si>
  <si>
    <t xml:space="preserve">The Upload Registry is a relational database (for example PostgreSQL) reached with the Database connector. The Boomi Cache shape is not used because it is node-local on a clustered Molecule. Unique constraints on (clientId, Idempotency-Key) and on live (sourceSystem, externalDocumentId) give idempotency across nodes.</t>
  </si>
  <si>
    <t xml:space="preserve">Without a shared store, idempotency and status cannot be guaranteed.</t>
  </si>
  <si>
    <t xml:space="preserve">Programme learning</t>
  </si>
  <si>
    <t xml:space="preserve">B-08</t>
  </si>
  <si>
    <t xml:space="preserve">Configuration</t>
  </si>
  <si>
    <t xml:space="preserve">Config over construction: one generic process set serves every consumer. A new consumer or document type is a new policy row (limits, landing prefix, MFT flow code, TTL), not a new Boomi process.</t>
  </si>
  <si>
    <t xml:space="preserve">None.</t>
  </si>
  <si>
    <t xml:space="preserve">Architecture principle</t>
  </si>
  <si>
    <t xml:space="preserve">B-09</t>
  </si>
  <si>
    <t xml:space="preserve">Limits</t>
  </si>
  <si>
    <t xml:space="preserve">Default policy values: 10 documents per request, 250 MiB per file (gap G-15), single PUT up to 100 MiB, 16 MiB parts, 900 s URL lifetime, request body up to 256 KB. File bytes never pass through the Boomi runtime or gateway.</t>
  </si>
  <si>
    <t xml:space="preserve">Larger files need the D-03 decision.</t>
  </si>
  <si>
    <t xml:space="preserve">Gap G-15</t>
  </si>
  <si>
    <t xml:space="preserve">B-10</t>
  </si>
  <si>
    <t xml:space="preserve">Boomi Event Streams is enabled on the account. Events are produced with the Event Streams connector to one topic per environment (file-transfer.upload.events) in CloudEvents 1.0 JSON. Each consumer has its own subscription with a dead letter topic. Delivery is at least once; consumers de-duplicate on event id.</t>
  </si>
  <si>
    <t xml:space="preserve">If a platform broker is chosen instead, only the producer connector changes (SDEC OI-26).</t>
  </si>
  <si>
    <t xml:space="preserve">B-11</t>
  </si>
  <si>
    <t xml:space="preserve">MFT outcome</t>
  </si>
  <si>
    <t xml:space="preserve">Boomi learns the MFT outcome by polling the MFT AuditLog API every 60 s from a scheduled process (P03) with a watermark in the registry and a database lock so only one node polls. The audit record is assumed to carry file name, flow, status and MFT file code. To be proven in the POC.</t>
  </si>
  <si>
    <t xml:space="preserve">If the audit record lacks these fields, use the MFT Integration Connector endpoint as the target instead (D-04).</t>
  </si>
  <si>
    <t xml:space="preserve">Boomi MFT AuditLog APIs</t>
  </si>
  <si>
    <t xml:space="preserve">B-12</t>
  </si>
  <si>
    <t xml:space="preserve">Mapping</t>
  </si>
  <si>
    <t xml:space="preserve">The MFT file name equals fileId (last segment of the object key). No consumer data is placed in MFT custom metadata.</t>
  </si>
  <si>
    <t xml:space="preserve">None; this is what keeps the mapping independent of MFT features.</t>
  </si>
  <si>
    <t xml:space="preserve">Design choice</t>
  </si>
  <si>
    <t xml:space="preserve">B-13</t>
  </si>
  <si>
    <t xml:space="preserve">Data protection</t>
  </si>
  <si>
    <t xml:space="preserve">documentName is stored only in the registry. Object keys, MFT file names and Boomi process logs carry fileId and correlationId only. Presigned URLs are never written to process logs.</t>
  </si>
  <si>
    <t xml:space="preserve">B-14</t>
  </si>
  <si>
    <t xml:space="preserve">Lifecycle</t>
  </si>
  <si>
    <t xml:space="preserve">A scheduled sweep (P04, every 5 min) expires files still URL_ISSUED after expiresAt plus 60 s grace and aborts open multipart uploads. An S3 lifecycle rule deletes incomplete multipart uploads after 1 day as a backstop.</t>
  </si>
  <si>
    <t xml:space="preserve">Without the sweep, abandoned collections never close.</t>
  </si>
  <si>
    <t xml:space="preserve">Decision needed</t>
  </si>
  <si>
    <t xml:space="preserve">Options</t>
  </si>
  <si>
    <t xml:space="preserve">Recommendation</t>
  </si>
  <si>
    <t xml:space="preserve">Owner role</t>
  </si>
  <si>
    <t xml:space="preserve">Status</t>
  </si>
  <si>
    <t xml:space="preserve">Named owner</t>
  </si>
  <si>
    <t xml:space="preserve">Decision and date</t>
  </si>
  <si>
    <t xml:space="preserve">D-01</t>
  </si>
  <si>
    <t xml:space="preserve">How is the presigned upload URL realised?</t>
  </si>
  <si>
    <t xml:space="preserve">A: SigV4 PUT URL on S3 landing bucket that is the MFT source endpoint. B: Boomi-signed token URL to a Boomi upload endpoint that streams into the MFT Content API. C: MFT File Sharing uploader short key (browser widget).</t>
  </si>
  <si>
    <t xml:space="preserve">A. Bytes never touch the Boomi runtime, matches the existing signer and the SDEC landing bucket design. B puts up to 250 MiB per file through the gateway and Molecule. C suits people in a browser, not system PUTs.</t>
  </si>
  <si>
    <t xml:space="preserve">HIP platform architect; design authority</t>
  </si>
  <si>
    <t xml:space="preserve">Open</t>
  </si>
  <si>
    <t xml:space="preserve">D-02</t>
  </si>
  <si>
    <t xml:space="preserve">Which gateway publishes the API?</t>
  </si>
  <si>
    <t xml:space="preserve">Boomi API Management or enterprise Kong gateway.</t>
  </si>
  <si>
    <t xml:space="preserve">Boomi API Management for this API unless Kong is mandated; policies are the same.</t>
  </si>
  <si>
    <t xml:space="preserve">API platform owner</t>
  </si>
  <si>
    <t xml:space="preserve">D-03</t>
  </si>
  <si>
    <t xml:space="preserve">Files above 250 MiB</t>
  </si>
  <si>
    <t xml:space="preserve">Reject (current), split AV scanning, or a separate large-file route.</t>
  </si>
  <si>
    <t xml:space="preserve">Reject until G-15 is closed; revisit with security.</t>
  </si>
  <si>
    <t xml:space="preserve">Security architect; service owner</t>
  </si>
  <si>
    <t xml:space="preserve">D-04</t>
  </si>
  <si>
    <t xml:space="preserve">How does Boomi learn the MFT outcome?</t>
  </si>
  <si>
    <t xml:space="preserve">Poll MFT AuditLog API; MFT Integration Connector endpoint as target; platform event notifications on Event Streams if MFT events are offered.</t>
  </si>
  <si>
    <t xml:space="preserve">Poll for MVP; prove a push route in the POC and switch by configuration.</t>
  </si>
  <si>
    <t xml:space="preserve">HIP platform architect</t>
  </si>
  <si>
    <t xml:space="preserve">D-05</t>
  </si>
  <si>
    <t xml:space="preserve">S3 ACL requirement of the MFT S3 endpoint</t>
  </si>
  <si>
    <t xml:space="preserve">Enable ACLs on landing and clean buckets with a scoped exception, or wait for an MFT change.</t>
  </si>
  <si>
    <t xml:space="preserve">Scoped exception on the two buckets, reviewed at each MFT release.</t>
  </si>
  <si>
    <t xml:space="preserve">Cloud security lead</t>
  </si>
  <si>
    <t xml:space="preserve">D-06</t>
  </si>
  <si>
    <t xml:space="preserve">Duplicate content and externalDocumentId reuse</t>
  </si>
  <si>
    <t xml:space="preserve">Allow re-upload of the same checksum; block; or link to the existing fileId.</t>
  </si>
  <si>
    <t xml:space="preserve">Allow, but flag duplicate checksum on the event for the consumer to decide.</t>
  </si>
  <si>
    <t xml:space="preserve">Service owner</t>
  </si>
  <si>
    <t xml:space="preserve">D-07</t>
  </si>
  <si>
    <t xml:space="preserve">Retention</t>
  </si>
  <si>
    <t xml:space="preserve">Landing objects, failed files, registry rows and events.</t>
  </si>
  <si>
    <t xml:space="preserve">Landing: deleted by MFT on transfer; failed: 30 days; registry: 90 days; to be confirmed.</t>
  </si>
  <si>
    <t xml:space="preserve">Information asset owner; data protection officer</t>
  </si>
  <si>
    <t xml:space="preserve">D-08</t>
  </si>
  <si>
    <t xml:space="preserve">Event contracts</t>
  </si>
  <si>
    <t xml:space="preserve">Topic per event type or one topic with type attribute; where AsyncAPI contracts are owned.</t>
  </si>
  <si>
    <t xml:space="preserve">One topic with type attribute; AsyncAPI in the integration catalogue.</t>
  </si>
  <si>
    <t xml:space="preserve">Event platform owner</t>
  </si>
  <si>
    <t xml:space="preserve">URL</t>
  </si>
  <si>
    <t xml:space="preserve">Boomi MFT Content API overview</t>
  </si>
  <si>
    <t xml:space="preserve">https://developer.boomi.com/docs/api/content-api-overview</t>
  </si>
  <si>
    <t xml:space="preserve">Uploading files using the MFT Content API</t>
  </si>
  <si>
    <t xml:space="preserve">https://developer.boomi.com/docs/APIs/MFT/AFTRESTAPIs/AFTAPIReference/content-file-upload</t>
  </si>
  <si>
    <t xml:space="preserve">https://help.boomi.com/docs/Atomsphere/Integration/MFT/AutomatedFileTransfer/user-guide/organizations/endpoint-types/</t>
  </si>
  <si>
    <t xml:space="preserve">https://help.boomi.com/docs/Atomsphere/Integration/MFT/AutomatedFileTransfer/user-guide/organizations/endpoint-types/amazon-s3</t>
  </si>
  <si>
    <t xml:space="preserve">Boomi MFT key concepts (flow endpoints incl. anti virus)</t>
  </si>
  <si>
    <t xml:space="preserve">https://help.boomi.com/docs/Atomsphere/Integration/MFT/AutomatedFileTransfer/user-guide/key-concepts/</t>
  </si>
  <si>
    <t xml:space="preserve">Boomi Event Streams: event notifications and dynamic topic routing (May 2026)</t>
  </si>
  <si>
    <t xml:space="preserve">https://boomi.com/blog/boomi-adds-dynamic-topic-routing-and-event-notifications-to-boomi-event-streams/</t>
  </si>
  <si>
    <t xml:space="preserve">Boomi MFT File Sharing API: ServerTool short keys</t>
  </si>
  <si>
    <t xml:space="preserve">https://developer.boomi.com/docs/api/filesharingapi/ServerTool</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</si>
</sst>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name val="Arial"/>
      <family val="2"/>
    </font>
  </fonts>
  <fills count="5">
    <fill>
      <patternFill patternType="none"/>
    </fill>
    <fill>
      <patternFill patternType="gray125"/>
    </fill>
    <fill>
      <patternFill patternType="solid">
        <fgColor rgb="FF1E2A38"/>
        <bgColor rgb="FF333300"/>
      </patternFill>
    </fill>
    <fill>
      <patternFill patternType="solid">
        <fgColor rgb="FFF3F5F8"/>
        <bgColor rgb="FFFFFFFF"/>
      </patternFill>
    </fill>
    <fill>
      <patternFill patternType="solid">
        <fgColor rgb="FFFFF2B3"/>
        <bgColor rgb="FFFFFF99"/>
      </patternFill>
    </fill>
  </fills>
  <borders count="2">
    <border diagonalUp="false" diagonalDown="false">
      <left/>
      <right/>
      <top/>
      <bottom/>
      <diagonal/>
    </border>
    <border diagonalUp="false" diagonalDown="false">
      <left style="thin">
        <color rgb="FFD5DCE3"/>
      </left>
      <right style="thin">
        <color rgb="FFD5DCE3"/>
      </right>
      <top style="thin">
        <color rgb="FFD5DCE3"/>
      </top>
      <bottom style="thin">
        <color rgb="FFD5DC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E2A38"/>
          <bgColor rgb="FF000000"/>
        </patternFill>
      </fill>
    </dxf>
    <dxf>
      <fill>
        <patternFill patternType="solid">
          <fgColor rgb="FFF3F5F8"/>
          <bgColor rgb="FF000000"/>
        </patternFill>
      </fill>
    </dxf>
    <dxf>
      <fill>
        <patternFill patternType="solid">
          <bgColor rgb="FF000000"/>
        </patternFill>
      </fill>
    </dxf>
    <dxf>
      <fill>
        <patternFill patternType="solid">
          <fgColor rgb="FFFFFFFF"/>
          <bgColor rgb="FF000000"/>
        </patternFill>
      </fill>
    </dxf>
    <dxf>
      <fill>
        <patternFill patternType="solid">
          <fgColor rgb="FFFFF2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B3"/>
      <rgbColor rgb="FFF3F5F8"/>
      <rgbColor rgb="FF660066"/>
      <rgbColor rgb="FFFF8080"/>
      <rgbColor rgb="FF0066CC"/>
      <rgbColor rgb="FFD5DC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E2A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3.xml"/><Relationship Id="rId3" Type="http://schemas.openxmlformats.org/officeDocument/2006/relationships/vmlDrawing" Target="../drawings/vmlDrawing1.v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23.8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4" t="s">
        <v>9</v>
      </c>
      <c r="B12" s="5" t="n">
        <f aca="false">COUNTIF('Open decisions'!F:F,"Open")</f>
        <v>8</v>
      </c>
    </row>
    <row r="13" customFormat="false" ht="15" hidden="false" customHeight="false" outlineLevel="0" collapsed="false">
      <c r="A13" s="4" t="s">
        <v>10</v>
      </c>
      <c r="B13" s="5" t="n">
        <f aca="false">COUNTIF('Open decisions'!F:F,"Agreed")</f>
        <v>0</v>
      </c>
    </row>
    <row r="14" customFormat="false" ht="15" hidden="false" customHeight="false" outlineLevel="0" collapsed="false">
      <c r="A14" s="4" t="s">
        <v>11</v>
      </c>
      <c r="B14" s="5" t="n">
        <f aca="false">COUNTIF('Boomi assumptions'!F:F,"Yes")</f>
        <v>0</v>
      </c>
    </row>
    <row r="15" customFormat="false" ht="15" hidden="false" customHeight="false" outlineLevel="0" collapsed="false">
      <c r="A15" s="4" t="s">
        <v>12</v>
      </c>
      <c r="B15" s="5" t="n">
        <f aca="false">COUNTA('Boomi assumptions'!A:A)-1</f>
        <v>14</v>
      </c>
    </row>
    <row r="16" customFormat="false" ht="15" hidden="false" customHeight="false" outlineLevel="0" collapsed="false">
      <c r="A16" s="4" t="s">
        <v>13</v>
      </c>
      <c r="B16" s="5" t="n">
        <f aca="false">COUNTA('Request fields'!A:A)-1</f>
        <v>15</v>
      </c>
    </row>
    <row r="17" customFormat="false" ht="15" hidden="false" customHeight="false" outlineLevel="0" collapsed="false">
      <c r="A17" s="4" t="s">
        <v>14</v>
      </c>
      <c r="B17" s="5" t="n">
        <f aca="false">COUNTA(Events!A:A)-1</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8"/>
    <col collapsed="false" customWidth="true" hidden="false" outlineLevel="0" max="3" min="3" style="0" width="44"/>
    <col collapsed="false" customWidth="true" hidden="false" outlineLevel="0" max="4" min="4" style="0" width="34"/>
    <col collapsed="false" customWidth="true" hidden="false" outlineLevel="0" max="5" min="5" style="0" width="12"/>
  </cols>
  <sheetData>
    <row r="1" customFormat="false" ht="27.75" hidden="false" customHeight="true" outlineLevel="0" collapsed="false">
      <c r="A1" s="6" t="s">
        <v>15</v>
      </c>
      <c r="B1" s="6" t="s">
        <v>16</v>
      </c>
      <c r="C1" s="6" t="s">
        <v>17</v>
      </c>
      <c r="D1" s="6" t="s">
        <v>18</v>
      </c>
      <c r="E1" s="6" t="s">
        <v>19</v>
      </c>
    </row>
    <row r="2" customFormat="false" ht="23.85" hidden="false" customHeight="false" outlineLevel="0" collapsed="false">
      <c r="A2" s="7" t="s">
        <v>20</v>
      </c>
      <c r="B2" s="7" t="s">
        <v>21</v>
      </c>
      <c r="C2" s="7" t="s">
        <v>22</v>
      </c>
      <c r="D2" s="7" t="s">
        <v>23</v>
      </c>
      <c r="E2" s="7" t="s">
        <v>24</v>
      </c>
    </row>
    <row r="3" customFormat="false" ht="15" hidden="false" customHeight="false" outlineLevel="0" collapsed="false">
      <c r="A3" s="8" t="s">
        <v>20</v>
      </c>
      <c r="B3" s="8" t="s">
        <v>25</v>
      </c>
      <c r="C3" s="8" t="s">
        <v>26</v>
      </c>
      <c r="D3" s="8" t="s">
        <v>27</v>
      </c>
      <c r="E3" s="8" t="s">
        <v>28</v>
      </c>
    </row>
    <row r="4" customFormat="false" ht="15" hidden="false" customHeight="false" outlineLevel="0" collapsed="false">
      <c r="A4" s="7" t="s">
        <v>29</v>
      </c>
      <c r="B4" s="7" t="s">
        <v>30</v>
      </c>
      <c r="C4" s="7" t="s">
        <v>31</v>
      </c>
      <c r="D4" s="7" t="s">
        <v>32</v>
      </c>
      <c r="E4" s="7" t="s">
        <v>28</v>
      </c>
    </row>
  </sheetData>
  <autoFilter ref="A1: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2"/>
    <col collapsed="false" customWidth="true" hidden="false" outlineLevel="0" max="4" min="4" style="0" width="46"/>
    <col collapsed="false" customWidth="true" hidden="false" outlineLevel="0" max="5" min="5" style="0" width="70"/>
    <col collapsed="false" customWidth="true" hidden="false" outlineLevel="0" max="6" min="6" style="0" width="10"/>
  </cols>
  <sheetData>
    <row r="1" customFormat="false" ht="27.75" hidden="false" customHeight="true" outlineLevel="0" collapsed="false">
      <c r="A1" s="6" t="s">
        <v>33</v>
      </c>
      <c r="B1" s="6" t="s">
        <v>34</v>
      </c>
      <c r="C1" s="6" t="s">
        <v>35</v>
      </c>
      <c r="D1" s="6" t="s">
        <v>36</v>
      </c>
      <c r="E1" s="6" t="s">
        <v>37</v>
      </c>
      <c r="F1" s="6" t="s">
        <v>38</v>
      </c>
    </row>
    <row r="2" customFormat="false" ht="23.85" hidden="false" customHeight="false" outlineLevel="0" collapsed="false">
      <c r="A2" s="7" t="s">
        <v>39</v>
      </c>
      <c r="B2" s="7" t="s">
        <v>40</v>
      </c>
      <c r="C2" s="7" t="s">
        <v>41</v>
      </c>
      <c r="D2" s="7" t="s">
        <v>42</v>
      </c>
      <c r="E2" s="7" t="s">
        <v>43</v>
      </c>
      <c r="F2" s="7" t="s">
        <v>44</v>
      </c>
    </row>
    <row r="3" customFormat="false" ht="15" hidden="false" customHeight="false" outlineLevel="0" collapsed="false">
      <c r="A3" s="8" t="s">
        <v>45</v>
      </c>
      <c r="B3" s="8" t="s">
        <v>40</v>
      </c>
      <c r="C3" s="8" t="s">
        <v>41</v>
      </c>
      <c r="D3" s="8" t="s">
        <v>46</v>
      </c>
      <c r="E3" s="8"/>
      <c r="F3" s="8" t="s">
        <v>44</v>
      </c>
    </row>
    <row r="4" customFormat="false" ht="23.85" hidden="false" customHeight="false" outlineLevel="0" collapsed="false">
      <c r="A4" s="7" t="s">
        <v>47</v>
      </c>
      <c r="B4" s="7" t="s">
        <v>48</v>
      </c>
      <c r="C4" s="7" t="s">
        <v>49</v>
      </c>
      <c r="D4" s="7" t="s">
        <v>50</v>
      </c>
      <c r="E4" s="7" t="s">
        <v>51</v>
      </c>
      <c r="F4" s="7" t="s">
        <v>44</v>
      </c>
    </row>
    <row r="5" customFormat="false" ht="23.85" hidden="false" customHeight="false" outlineLevel="0" collapsed="false">
      <c r="A5" s="8" t="s">
        <v>52</v>
      </c>
      <c r="B5" s="8" t="s">
        <v>48</v>
      </c>
      <c r="C5" s="8" t="s">
        <v>41</v>
      </c>
      <c r="D5" s="8" t="s">
        <v>53</v>
      </c>
      <c r="E5" s="8" t="s">
        <v>54</v>
      </c>
      <c r="F5" s="8" t="s">
        <v>44</v>
      </c>
    </row>
    <row r="6" customFormat="false" ht="23.85" hidden="false" customHeight="false" outlineLevel="0" collapsed="false">
      <c r="A6" s="7" t="s">
        <v>55</v>
      </c>
      <c r="B6" s="7" t="s">
        <v>56</v>
      </c>
      <c r="C6" s="7" t="s">
        <v>41</v>
      </c>
      <c r="D6" s="7" t="s">
        <v>57</v>
      </c>
      <c r="E6" s="7" t="s">
        <v>58</v>
      </c>
      <c r="F6" s="7" t="s">
        <v>59</v>
      </c>
    </row>
    <row r="7" customFormat="false" ht="23.85" hidden="false" customHeight="false" outlineLevel="0" collapsed="false">
      <c r="A7" s="8" t="s">
        <v>60</v>
      </c>
      <c r="B7" s="8" t="s">
        <v>40</v>
      </c>
      <c r="C7" s="8" t="s">
        <v>41</v>
      </c>
      <c r="D7" s="8" t="s">
        <v>61</v>
      </c>
      <c r="E7" s="8" t="s">
        <v>62</v>
      </c>
      <c r="F7" s="8" t="s">
        <v>59</v>
      </c>
    </row>
    <row r="8" customFormat="false" ht="23.85" hidden="false" customHeight="false" outlineLevel="0" collapsed="false">
      <c r="A8" s="7" t="s">
        <v>63</v>
      </c>
      <c r="B8" s="7" t="s">
        <v>40</v>
      </c>
      <c r="C8" s="7" t="s">
        <v>49</v>
      </c>
      <c r="D8" s="7" t="s">
        <v>64</v>
      </c>
      <c r="E8" s="7" t="s">
        <v>65</v>
      </c>
      <c r="F8" s="7" t="s">
        <v>59</v>
      </c>
    </row>
    <row r="9" customFormat="false" ht="15" hidden="false" customHeight="false" outlineLevel="0" collapsed="false">
      <c r="A9" s="8" t="s">
        <v>66</v>
      </c>
      <c r="B9" s="8" t="s">
        <v>67</v>
      </c>
      <c r="C9" s="8" t="s">
        <v>49</v>
      </c>
      <c r="D9" s="8" t="s">
        <v>68</v>
      </c>
      <c r="E9" s="8" t="s">
        <v>69</v>
      </c>
      <c r="F9" s="8" t="s">
        <v>59</v>
      </c>
    </row>
    <row r="10" customFormat="false" ht="23.85" hidden="false" customHeight="false" outlineLevel="0" collapsed="false">
      <c r="A10" s="7" t="s">
        <v>70</v>
      </c>
      <c r="B10" s="7" t="s">
        <v>71</v>
      </c>
      <c r="C10" s="7" t="s">
        <v>41</v>
      </c>
      <c r="D10" s="7" t="s">
        <v>72</v>
      </c>
      <c r="E10" s="7" t="s">
        <v>73</v>
      </c>
      <c r="F10" s="7" t="s">
        <v>59</v>
      </c>
    </row>
    <row r="11" customFormat="false" ht="23.85" hidden="false" customHeight="false" outlineLevel="0" collapsed="false">
      <c r="A11" s="8" t="s">
        <v>74</v>
      </c>
      <c r="B11" s="8" t="s">
        <v>40</v>
      </c>
      <c r="C11" s="8" t="s">
        <v>41</v>
      </c>
      <c r="D11" s="8" t="s">
        <v>75</v>
      </c>
      <c r="E11" s="8" t="s">
        <v>76</v>
      </c>
      <c r="F11" s="8" t="s">
        <v>59</v>
      </c>
    </row>
    <row r="12" customFormat="false" ht="23.85" hidden="false" customHeight="false" outlineLevel="0" collapsed="false">
      <c r="A12" s="7" t="s">
        <v>77</v>
      </c>
      <c r="B12" s="7" t="s">
        <v>40</v>
      </c>
      <c r="C12" s="7" t="s">
        <v>41</v>
      </c>
      <c r="D12" s="7" t="s">
        <v>78</v>
      </c>
      <c r="E12" s="7" t="s">
        <v>79</v>
      </c>
      <c r="F12" s="7" t="s">
        <v>59</v>
      </c>
    </row>
    <row r="13" customFormat="false" ht="15" hidden="false" customHeight="false" outlineLevel="0" collapsed="false">
      <c r="A13" s="8" t="s">
        <v>80</v>
      </c>
      <c r="B13" s="8" t="s">
        <v>81</v>
      </c>
      <c r="C13" s="8" t="s">
        <v>41</v>
      </c>
      <c r="D13" s="8" t="s">
        <v>82</v>
      </c>
      <c r="E13" s="8" t="s">
        <v>83</v>
      </c>
      <c r="F13" s="8" t="s">
        <v>59</v>
      </c>
    </row>
    <row r="14" customFormat="false" ht="15" hidden="false" customHeight="false" outlineLevel="0" collapsed="false">
      <c r="A14" s="7" t="s">
        <v>84</v>
      </c>
      <c r="B14" s="7" t="s">
        <v>40</v>
      </c>
      <c r="C14" s="7" t="s">
        <v>41</v>
      </c>
      <c r="D14" s="7" t="s">
        <v>85</v>
      </c>
      <c r="E14" s="7" t="s">
        <v>86</v>
      </c>
      <c r="F14" s="7" t="s">
        <v>59</v>
      </c>
    </row>
    <row r="15" customFormat="false" ht="23.85" hidden="false" customHeight="false" outlineLevel="0" collapsed="false">
      <c r="A15" s="8" t="s">
        <v>87</v>
      </c>
      <c r="B15" s="8" t="s">
        <v>88</v>
      </c>
      <c r="C15" s="8" t="s">
        <v>89</v>
      </c>
      <c r="D15" s="8" t="s">
        <v>90</v>
      </c>
      <c r="E15" s="8" t="s">
        <v>91</v>
      </c>
      <c r="F15" s="8" t="s">
        <v>59</v>
      </c>
    </row>
    <row r="16" customFormat="false" ht="15" hidden="false" customHeight="false" outlineLevel="0" collapsed="false">
      <c r="A16" s="7" t="s">
        <v>92</v>
      </c>
      <c r="B16" s="7" t="s">
        <v>40</v>
      </c>
      <c r="C16" s="7" t="s">
        <v>49</v>
      </c>
      <c r="D16" s="7" t="s">
        <v>93</v>
      </c>
      <c r="E16" s="7" t="s">
        <v>94</v>
      </c>
      <c r="F16" s="7" t="s">
        <v>59</v>
      </c>
    </row>
  </sheetData>
  <autoFilter ref="A1:F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2"/>
    <col collapsed="false" customWidth="true" hidden="false" outlineLevel="0" max="3" min="3" style="0" width="16"/>
    <col collapsed="false" customWidth="true" hidden="false" outlineLevel="0" max="4" min="4" style="0" width="90"/>
  </cols>
  <sheetData>
    <row r="1" customFormat="false" ht="27.75" hidden="false" customHeight="true" outlineLevel="0" collapsed="false">
      <c r="A1" s="6" t="s">
        <v>33</v>
      </c>
      <c r="B1" s="6" t="s">
        <v>34</v>
      </c>
      <c r="C1" s="6" t="s">
        <v>95</v>
      </c>
      <c r="D1" s="6" t="s">
        <v>37</v>
      </c>
    </row>
    <row r="2" customFormat="false" ht="15" hidden="false" customHeight="false" outlineLevel="0" collapsed="false">
      <c r="A2" s="7" t="s">
        <v>96</v>
      </c>
      <c r="B2" s="7" t="s">
        <v>40</v>
      </c>
      <c r="C2" s="7" t="s">
        <v>97</v>
      </c>
      <c r="D2" s="7" t="s">
        <v>98</v>
      </c>
    </row>
    <row r="3" customFormat="false" ht="15" hidden="false" customHeight="false" outlineLevel="0" collapsed="false">
      <c r="A3" s="8" t="s">
        <v>55</v>
      </c>
      <c r="B3" s="8" t="s">
        <v>56</v>
      </c>
      <c r="C3" s="8" t="s">
        <v>97</v>
      </c>
      <c r="D3" s="8" t="s">
        <v>99</v>
      </c>
    </row>
    <row r="4" customFormat="false" ht="23.85" hidden="false" customHeight="false" outlineLevel="0" collapsed="false">
      <c r="A4" s="7" t="s">
        <v>100</v>
      </c>
      <c r="B4" s="7" t="s">
        <v>101</v>
      </c>
      <c r="C4" s="7" t="s">
        <v>97</v>
      </c>
      <c r="D4" s="7" t="s">
        <v>102</v>
      </c>
    </row>
    <row r="5" customFormat="false" ht="15" hidden="false" customHeight="false" outlineLevel="0" collapsed="false">
      <c r="A5" s="8" t="s">
        <v>103</v>
      </c>
      <c r="B5" s="8" t="s">
        <v>104</v>
      </c>
      <c r="C5" s="8" t="s">
        <v>97</v>
      </c>
      <c r="D5" s="8" t="s">
        <v>105</v>
      </c>
    </row>
    <row r="6" customFormat="false" ht="15" hidden="false" customHeight="false" outlineLevel="0" collapsed="false">
      <c r="A6" s="7" t="s">
        <v>106</v>
      </c>
      <c r="B6" s="7" t="s">
        <v>107</v>
      </c>
      <c r="C6" s="7" t="s">
        <v>97</v>
      </c>
      <c r="D6" s="7" t="s">
        <v>108</v>
      </c>
    </row>
    <row r="7" customFormat="false" ht="15" hidden="false" customHeight="false" outlineLevel="0" collapsed="false">
      <c r="A7" s="8" t="s">
        <v>109</v>
      </c>
      <c r="B7" s="8" t="s">
        <v>40</v>
      </c>
      <c r="C7" s="8" t="s">
        <v>97</v>
      </c>
      <c r="D7" s="8" t="s">
        <v>110</v>
      </c>
    </row>
    <row r="8" customFormat="false" ht="15" hidden="false" customHeight="false" outlineLevel="0" collapsed="false">
      <c r="A8" s="7" t="s">
        <v>111</v>
      </c>
      <c r="B8" s="7" t="s">
        <v>40</v>
      </c>
      <c r="C8" s="7" t="s">
        <v>112</v>
      </c>
      <c r="D8" s="7" t="s">
        <v>113</v>
      </c>
    </row>
    <row r="9" customFormat="false" ht="15" hidden="false" customHeight="false" outlineLevel="0" collapsed="false">
      <c r="A9" s="8" t="s">
        <v>114</v>
      </c>
      <c r="B9" s="8" t="s">
        <v>101</v>
      </c>
      <c r="C9" s="8" t="s">
        <v>97</v>
      </c>
      <c r="D9" s="8" t="s">
        <v>115</v>
      </c>
    </row>
    <row r="10" customFormat="false" ht="15" hidden="false" customHeight="false" outlineLevel="0" collapsed="false">
      <c r="A10" s="7" t="s">
        <v>116</v>
      </c>
      <c r="B10" s="7" t="s">
        <v>101</v>
      </c>
      <c r="C10" s="7" t="s">
        <v>112</v>
      </c>
      <c r="D10" s="7" t="s">
        <v>117</v>
      </c>
    </row>
    <row r="11" customFormat="false" ht="15" hidden="false" customHeight="false" outlineLevel="0" collapsed="false">
      <c r="A11" s="8" t="s">
        <v>118</v>
      </c>
      <c r="B11" s="8" t="s">
        <v>40</v>
      </c>
      <c r="C11" s="8" t="s">
        <v>112</v>
      </c>
      <c r="D11" s="8" t="s">
        <v>119</v>
      </c>
    </row>
    <row r="12" customFormat="false" ht="15" hidden="false" customHeight="false" outlineLevel="0" collapsed="false">
      <c r="A12" s="7" t="s">
        <v>120</v>
      </c>
      <c r="B12" s="7" t="s">
        <v>121</v>
      </c>
      <c r="C12" s="7" t="s">
        <v>122</v>
      </c>
      <c r="D12" s="7" t="s">
        <v>123</v>
      </c>
    </row>
    <row r="13" customFormat="false" ht="15" hidden="false" customHeight="false" outlineLevel="0" collapsed="false">
      <c r="A13" s="8" t="s">
        <v>124</v>
      </c>
      <c r="B13" s="8" t="s">
        <v>125</v>
      </c>
      <c r="C13" s="8" t="s">
        <v>122</v>
      </c>
      <c r="D13" s="8" t="s">
        <v>126</v>
      </c>
    </row>
    <row r="14" customFormat="false" ht="15" hidden="false" customHeight="false" outlineLevel="0" collapsed="false">
      <c r="A14" s="7" t="s">
        <v>127</v>
      </c>
      <c r="B14" s="7" t="s">
        <v>107</v>
      </c>
      <c r="C14" s="7" t="s">
        <v>128</v>
      </c>
      <c r="D14" s="7" t="s">
        <v>129</v>
      </c>
    </row>
    <row r="15" customFormat="false" ht="15" hidden="false" customHeight="false" outlineLevel="0" collapsed="false">
      <c r="A15" s="8" t="s">
        <v>130</v>
      </c>
      <c r="B15" s="8" t="s">
        <v>71</v>
      </c>
      <c r="C15" s="8" t="s">
        <v>128</v>
      </c>
      <c r="D15" s="8" t="s">
        <v>131</v>
      </c>
    </row>
    <row r="16" customFormat="false" ht="15" hidden="false" customHeight="false" outlineLevel="0" collapsed="false">
      <c r="A16" s="7" t="s">
        <v>132</v>
      </c>
      <c r="B16" s="7" t="s">
        <v>121</v>
      </c>
      <c r="C16" s="7" t="s">
        <v>128</v>
      </c>
      <c r="D16" s="7" t="s">
        <v>133</v>
      </c>
    </row>
    <row r="17" customFormat="false" ht="15" hidden="false" customHeight="false" outlineLevel="0" collapsed="false">
      <c r="A17" s="8" t="s">
        <v>134</v>
      </c>
      <c r="B17" s="8" t="s">
        <v>135</v>
      </c>
      <c r="C17" s="8" t="s">
        <v>112</v>
      </c>
      <c r="D17" s="8" t="s">
        <v>136</v>
      </c>
    </row>
    <row r="18" customFormat="false" ht="23.85" hidden="false" customHeight="false" outlineLevel="0" collapsed="false">
      <c r="A18" s="7" t="s">
        <v>137</v>
      </c>
      <c r="B18" s="7" t="s">
        <v>40</v>
      </c>
      <c r="C18" s="7" t="s">
        <v>138</v>
      </c>
      <c r="D18" s="7" t="s">
        <v>139</v>
      </c>
    </row>
  </sheetData>
  <autoFilter ref="A1:D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80"/>
    <col collapsed="false" customWidth="true" hidden="false" outlineLevel="0" max="4" min="4" style="0" width="26"/>
  </cols>
  <sheetData>
    <row r="1" customFormat="false" ht="27.75" hidden="false" customHeight="true" outlineLevel="0" collapsed="false">
      <c r="A1" s="6" t="s">
        <v>140</v>
      </c>
      <c r="B1" s="6" t="s">
        <v>141</v>
      </c>
      <c r="C1" s="6" t="s">
        <v>142</v>
      </c>
      <c r="D1" s="6" t="s">
        <v>143</v>
      </c>
    </row>
    <row r="2" customFormat="false" ht="15" hidden="false" customHeight="false" outlineLevel="0" collapsed="false">
      <c r="A2" s="7" t="s">
        <v>144</v>
      </c>
      <c r="B2" s="7" t="s">
        <v>145</v>
      </c>
      <c r="C2" s="7" t="s">
        <v>146</v>
      </c>
      <c r="D2" s="7" t="s">
        <v>49</v>
      </c>
    </row>
    <row r="3" customFormat="false" ht="23.85" hidden="false" customHeight="false" outlineLevel="0" collapsed="false">
      <c r="A3" s="8" t="s">
        <v>144</v>
      </c>
      <c r="B3" s="8" t="s">
        <v>147</v>
      </c>
      <c r="C3" s="8" t="s">
        <v>148</v>
      </c>
      <c r="D3" s="8" t="s">
        <v>49</v>
      </c>
    </row>
    <row r="4" customFormat="false" ht="15" hidden="false" customHeight="false" outlineLevel="0" collapsed="false">
      <c r="A4" s="7" t="s">
        <v>144</v>
      </c>
      <c r="B4" s="7" t="s">
        <v>149</v>
      </c>
      <c r="C4" s="7" t="s">
        <v>150</v>
      </c>
      <c r="D4" s="7" t="s">
        <v>49</v>
      </c>
    </row>
    <row r="5" customFormat="false" ht="15" hidden="false" customHeight="false" outlineLevel="0" collapsed="false">
      <c r="A5" s="8" t="s">
        <v>151</v>
      </c>
      <c r="B5" s="8" t="s">
        <v>152</v>
      </c>
      <c r="C5" s="8" t="s">
        <v>153</v>
      </c>
      <c r="D5" s="8" t="s">
        <v>154</v>
      </c>
    </row>
    <row r="6" customFormat="false" ht="15" hidden="false" customHeight="false" outlineLevel="0" collapsed="false">
      <c r="A6" s="7" t="s">
        <v>155</v>
      </c>
      <c r="B6" s="7" t="s">
        <v>156</v>
      </c>
      <c r="C6" s="7" t="s">
        <v>157</v>
      </c>
      <c r="D6" s="7" t="s">
        <v>49</v>
      </c>
    </row>
    <row r="7" customFormat="false" ht="15" hidden="false" customHeight="false" outlineLevel="0" collapsed="false">
      <c r="A7" s="8" t="s">
        <v>158</v>
      </c>
      <c r="B7" s="8" t="s">
        <v>159</v>
      </c>
      <c r="C7" s="8" t="s">
        <v>160</v>
      </c>
      <c r="D7" s="8" t="s">
        <v>49</v>
      </c>
    </row>
    <row r="8" customFormat="false" ht="23.85" hidden="false" customHeight="false" outlineLevel="0" collapsed="false">
      <c r="A8" s="7" t="s">
        <v>158</v>
      </c>
      <c r="B8" s="7" t="s">
        <v>161</v>
      </c>
      <c r="C8" s="7" t="s">
        <v>162</v>
      </c>
      <c r="D8" s="7" t="s">
        <v>163</v>
      </c>
    </row>
    <row r="9" customFormat="false" ht="15" hidden="false" customHeight="false" outlineLevel="0" collapsed="false">
      <c r="A9" s="8" t="s">
        <v>164</v>
      </c>
      <c r="B9" s="8" t="s">
        <v>165</v>
      </c>
      <c r="C9" s="8" t="s">
        <v>166</v>
      </c>
      <c r="D9" s="8" t="s">
        <v>49</v>
      </c>
    </row>
    <row r="10" customFormat="false" ht="15" hidden="false" customHeight="false" outlineLevel="0" collapsed="false">
      <c r="A10" s="7" t="s">
        <v>164</v>
      </c>
      <c r="B10" s="7" t="s">
        <v>167</v>
      </c>
      <c r="C10" s="7" t="s">
        <v>168</v>
      </c>
      <c r="D10" s="7" t="s">
        <v>49</v>
      </c>
    </row>
    <row r="11" customFormat="false" ht="15" hidden="false" customHeight="false" outlineLevel="0" collapsed="false">
      <c r="A11" s="8" t="s">
        <v>169</v>
      </c>
      <c r="B11" s="8" t="s">
        <v>170</v>
      </c>
      <c r="C11" s="8" t="s">
        <v>171</v>
      </c>
      <c r="D11" s="8" t="s">
        <v>172</v>
      </c>
    </row>
    <row r="12" customFormat="false" ht="15" hidden="false" customHeight="false" outlineLevel="0" collapsed="false">
      <c r="A12" s="7" t="s">
        <v>173</v>
      </c>
      <c r="B12" s="7" t="s">
        <v>174</v>
      </c>
      <c r="C12" s="7" t="s">
        <v>175</v>
      </c>
      <c r="D12" s="7" t="s">
        <v>176</v>
      </c>
    </row>
    <row r="13" customFormat="false" ht="15" hidden="false" customHeight="false" outlineLevel="0" collapsed="false">
      <c r="A13" s="8" t="s">
        <v>177</v>
      </c>
      <c r="B13" s="8" t="s">
        <v>178</v>
      </c>
      <c r="C13" s="8" t="s">
        <v>179</v>
      </c>
      <c r="D13" s="8" t="s">
        <v>176</v>
      </c>
    </row>
  </sheetData>
  <autoFilter ref="A1:D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0"/>
    <col collapsed="false" customWidth="true" hidden="false" outlineLevel="0" max="4" min="4" style="0" width="70"/>
  </cols>
  <sheetData>
    <row r="1" customFormat="false" ht="27.75" hidden="false" customHeight="true" outlineLevel="0" collapsed="false">
      <c r="A1" s="6" t="s">
        <v>33</v>
      </c>
      <c r="B1" s="6" t="s">
        <v>34</v>
      </c>
      <c r="C1" s="6" t="s">
        <v>35</v>
      </c>
      <c r="D1" s="6" t="s">
        <v>37</v>
      </c>
    </row>
    <row r="2" customFormat="false" ht="15" hidden="false" customHeight="false" outlineLevel="0" collapsed="false">
      <c r="A2" s="7" t="s">
        <v>55</v>
      </c>
      <c r="B2" s="7" t="s">
        <v>56</v>
      </c>
      <c r="C2" s="7" t="s">
        <v>41</v>
      </c>
      <c r="D2" s="7" t="s">
        <v>180</v>
      </c>
    </row>
    <row r="3" customFormat="false" ht="15" hidden="false" customHeight="false" outlineLevel="0" collapsed="false">
      <c r="A3" s="8" t="s">
        <v>181</v>
      </c>
      <c r="B3" s="8" t="s">
        <v>71</v>
      </c>
      <c r="C3" s="8" t="s">
        <v>41</v>
      </c>
      <c r="D3" s="8" t="s">
        <v>182</v>
      </c>
    </row>
    <row r="4" customFormat="false" ht="15" hidden="false" customHeight="false" outlineLevel="0" collapsed="false">
      <c r="A4" s="7" t="s">
        <v>183</v>
      </c>
      <c r="B4" s="7" t="s">
        <v>107</v>
      </c>
      <c r="C4" s="7" t="s">
        <v>41</v>
      </c>
      <c r="D4" s="7" t="s">
        <v>184</v>
      </c>
    </row>
    <row r="5" customFormat="false" ht="15" hidden="false" customHeight="false" outlineLevel="0" collapsed="false">
      <c r="A5" s="8" t="s">
        <v>185</v>
      </c>
      <c r="B5" s="8" t="s">
        <v>40</v>
      </c>
      <c r="C5" s="8" t="s">
        <v>41</v>
      </c>
      <c r="D5" s="8" t="s">
        <v>186</v>
      </c>
    </row>
  </sheetData>
  <autoFilter ref="A1:D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26"/>
    <col collapsed="false" customWidth="true" hidden="false" outlineLevel="0" max="4" min="4" style="0" width="80"/>
  </cols>
  <sheetData>
    <row r="1" customFormat="false" ht="27.75" hidden="false" customHeight="true" outlineLevel="0" collapsed="false">
      <c r="A1" s="6" t="s">
        <v>187</v>
      </c>
      <c r="B1" s="6" t="s">
        <v>188</v>
      </c>
      <c r="C1" s="6" t="s">
        <v>189</v>
      </c>
      <c r="D1" s="6" t="s">
        <v>17</v>
      </c>
    </row>
    <row r="2" customFormat="false" ht="15" hidden="false" customHeight="false" outlineLevel="0" collapsed="false">
      <c r="A2" s="7" t="s">
        <v>55</v>
      </c>
      <c r="B2" s="7" t="s">
        <v>190</v>
      </c>
      <c r="C2" s="7" t="s">
        <v>191</v>
      </c>
      <c r="D2" s="7" t="s">
        <v>192</v>
      </c>
    </row>
    <row r="3" customFormat="false" ht="15" hidden="false" customHeight="false" outlineLevel="0" collapsed="false">
      <c r="A3" s="8" t="s">
        <v>52</v>
      </c>
      <c r="B3" s="8" t="s">
        <v>190</v>
      </c>
      <c r="C3" s="8" t="s">
        <v>193</v>
      </c>
      <c r="D3" s="8" t="s">
        <v>194</v>
      </c>
    </row>
    <row r="4" customFormat="false" ht="15" hidden="false" customHeight="false" outlineLevel="0" collapsed="false">
      <c r="A4" s="7" t="s">
        <v>195</v>
      </c>
      <c r="B4" s="7" t="s">
        <v>190</v>
      </c>
      <c r="C4" s="7" t="s">
        <v>196</v>
      </c>
      <c r="D4" s="7" t="s">
        <v>197</v>
      </c>
    </row>
    <row r="5" customFormat="false" ht="15" hidden="false" customHeight="false" outlineLevel="0" collapsed="false">
      <c r="A5" s="8" t="s">
        <v>96</v>
      </c>
      <c r="B5" s="8" t="s">
        <v>198</v>
      </c>
      <c r="C5" s="8" t="s">
        <v>199</v>
      </c>
      <c r="D5" s="8" t="s">
        <v>200</v>
      </c>
    </row>
    <row r="6" customFormat="false" ht="15" hidden="false" customHeight="false" outlineLevel="0" collapsed="false">
      <c r="A6" s="7" t="s">
        <v>201</v>
      </c>
      <c r="B6" s="7" t="s">
        <v>198</v>
      </c>
      <c r="C6" s="7" t="s">
        <v>202</v>
      </c>
      <c r="D6" s="7" t="s">
        <v>203</v>
      </c>
    </row>
    <row r="7" customFormat="false" ht="15" hidden="false" customHeight="false" outlineLevel="0" collapsed="false">
      <c r="A7" s="8" t="s">
        <v>204</v>
      </c>
      <c r="B7" s="8" t="s">
        <v>205</v>
      </c>
      <c r="C7" s="8" t="s">
        <v>206</v>
      </c>
      <c r="D7" s="8" t="s">
        <v>207</v>
      </c>
    </row>
    <row r="8" customFormat="false" ht="15" hidden="false" customHeight="false" outlineLevel="0" collapsed="false">
      <c r="A8" s="7" t="s">
        <v>208</v>
      </c>
      <c r="B8" s="7" t="s">
        <v>209</v>
      </c>
      <c r="C8" s="7" t="s">
        <v>210</v>
      </c>
      <c r="D8" s="7" t="s">
        <v>211</v>
      </c>
    </row>
    <row r="9" customFormat="false" ht="15" hidden="false" customHeight="false" outlineLevel="0" collapsed="false">
      <c r="A9" s="8" t="s">
        <v>212</v>
      </c>
      <c r="B9" s="8" t="s">
        <v>213</v>
      </c>
      <c r="C9" s="8" t="s">
        <v>214</v>
      </c>
      <c r="D9" s="8" t="s">
        <v>215</v>
      </c>
    </row>
  </sheetData>
  <autoFilter ref="A1:D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0"/>
  </cols>
  <sheetData>
    <row r="1" customFormat="false" ht="27.75" hidden="false" customHeight="true" outlineLevel="0" collapsed="false">
      <c r="A1" s="6" t="s">
        <v>216</v>
      </c>
      <c r="B1" s="6" t="s">
        <v>217</v>
      </c>
    </row>
    <row r="2" customFormat="false" ht="23.85" hidden="false" customHeight="false" outlineLevel="0" collapsed="false">
      <c r="A2" s="7" t="s">
        <v>218</v>
      </c>
      <c r="B2" s="7" t="s">
        <v>219</v>
      </c>
    </row>
    <row r="3" customFormat="false" ht="23.85" hidden="false" customHeight="false" outlineLevel="0" collapsed="false">
      <c r="A3" s="8" t="s">
        <v>220</v>
      </c>
      <c r="B3" s="8" t="s">
        <v>221</v>
      </c>
    </row>
    <row r="4" customFormat="false" ht="23.85" hidden="false" customHeight="false" outlineLevel="0" collapsed="false">
      <c r="A4" s="7" t="s">
        <v>222</v>
      </c>
      <c r="B4" s="7" t="s">
        <v>223</v>
      </c>
    </row>
    <row r="5" customFormat="false" ht="23.85" hidden="false" customHeight="false" outlineLevel="0" collapsed="false">
      <c r="A5" s="8" t="s">
        <v>224</v>
      </c>
      <c r="B5" s="8" t="s">
        <v>225</v>
      </c>
    </row>
    <row r="6" customFormat="false" ht="23.85" hidden="false" customHeight="false" outlineLevel="0" collapsed="false">
      <c r="A6" s="7" t="s">
        <v>226</v>
      </c>
      <c r="B6" s="7" t="s">
        <v>227</v>
      </c>
    </row>
    <row r="7" customFormat="false" ht="15" hidden="false" customHeight="false" outlineLevel="0" collapsed="false">
      <c r="A7" s="8" t="s">
        <v>228</v>
      </c>
      <c r="B7" s="8" t="s">
        <v>229</v>
      </c>
    </row>
    <row r="8" customFormat="false" ht="23.85" hidden="false" customHeight="false" outlineLevel="0" collapsed="false">
      <c r="A8" s="7" t="s">
        <v>230</v>
      </c>
      <c r="B8" s="7" t="s">
        <v>231</v>
      </c>
    </row>
    <row r="9" customFormat="false" ht="15" hidden="false" customHeight="false" outlineLevel="0" collapsed="false">
      <c r="A9" s="8" t="s">
        <v>232</v>
      </c>
      <c r="B9" s="8" t="s">
        <v>233</v>
      </c>
    </row>
  </sheetData>
  <autoFilter ref="A1:B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70"/>
  </cols>
  <sheetData>
    <row r="1" customFormat="false" ht="27.75" hidden="false" customHeight="true" outlineLevel="0" collapsed="false">
      <c r="A1" s="6" t="s">
        <v>234</v>
      </c>
      <c r="B1" s="6" t="s">
        <v>235</v>
      </c>
      <c r="C1" s="6" t="s">
        <v>236</v>
      </c>
    </row>
    <row r="2" customFormat="false" ht="15" hidden="false" customHeight="false" outlineLevel="0" collapsed="false">
      <c r="A2" s="7" t="s">
        <v>237</v>
      </c>
      <c r="B2" s="7" t="s">
        <v>238</v>
      </c>
      <c r="C2" s="7" t="s">
        <v>239</v>
      </c>
    </row>
    <row r="3" customFormat="false" ht="15" hidden="false" customHeight="false" outlineLevel="0" collapsed="false">
      <c r="A3" s="8" t="s">
        <v>240</v>
      </c>
      <c r="B3" s="8" t="s">
        <v>241</v>
      </c>
      <c r="C3" s="8" t="s">
        <v>242</v>
      </c>
    </row>
    <row r="4" customFormat="false" ht="15" hidden="false" customHeight="false" outlineLevel="0" collapsed="false">
      <c r="A4" s="7" t="s">
        <v>243</v>
      </c>
      <c r="B4" s="7" t="s">
        <v>244</v>
      </c>
      <c r="C4" s="7" t="s">
        <v>245</v>
      </c>
    </row>
    <row r="5" customFormat="false" ht="15" hidden="false" customHeight="false" outlineLevel="0" collapsed="false">
      <c r="A5" s="8" t="s">
        <v>246</v>
      </c>
      <c r="B5" s="8" t="s">
        <v>244</v>
      </c>
      <c r="C5" s="8" t="s">
        <v>247</v>
      </c>
    </row>
    <row r="6" customFormat="false" ht="15" hidden="false" customHeight="false" outlineLevel="0" collapsed="false">
      <c r="A6" s="7" t="s">
        <v>248</v>
      </c>
      <c r="B6" s="7" t="s">
        <v>244</v>
      </c>
      <c r="C6" s="7" t="s">
        <v>249</v>
      </c>
    </row>
    <row r="7" customFormat="false" ht="15" hidden="false" customHeight="false" outlineLevel="0" collapsed="false">
      <c r="A7" s="8" t="s">
        <v>250</v>
      </c>
      <c r="B7" s="8" t="s">
        <v>251</v>
      </c>
      <c r="C7" s="8" t="s">
        <v>252</v>
      </c>
    </row>
    <row r="8" customFormat="false" ht="15" hidden="false" customHeight="false" outlineLevel="0" collapsed="false">
      <c r="A8" s="7" t="s">
        <v>138</v>
      </c>
      <c r="B8" s="7" t="s">
        <v>238</v>
      </c>
      <c r="C8" s="7" t="s">
        <v>253</v>
      </c>
    </row>
  </sheetData>
  <autoFilter ref="A1:C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80"/>
    <col collapsed="false" customWidth="true" hidden="false" outlineLevel="0" max="4" min="4" style="0" width="36"/>
  </cols>
  <sheetData>
    <row r="1" customFormat="false" ht="27.75" hidden="false" customHeight="true" outlineLevel="0" collapsed="false">
      <c r="A1" s="6" t="s">
        <v>254</v>
      </c>
      <c r="B1" s="6" t="s">
        <v>255</v>
      </c>
      <c r="C1" s="6" t="s">
        <v>256</v>
      </c>
      <c r="D1" s="6" t="s">
        <v>257</v>
      </c>
    </row>
    <row r="2" customFormat="false" ht="23.85" hidden="false" customHeight="false" outlineLevel="0" collapsed="false">
      <c r="A2" s="7" t="s">
        <v>258</v>
      </c>
      <c r="B2" s="7" t="s">
        <v>259</v>
      </c>
      <c r="C2" s="7" t="s">
        <v>260</v>
      </c>
      <c r="D2" s="7" t="s">
        <v>261</v>
      </c>
    </row>
    <row r="3" customFormat="false" ht="23.85" hidden="false" customHeight="false" outlineLevel="0" collapsed="false">
      <c r="A3" s="8" t="s">
        <v>262</v>
      </c>
      <c r="B3" s="8" t="s">
        <v>263</v>
      </c>
      <c r="C3" s="8" t="s">
        <v>264</v>
      </c>
      <c r="D3" s="8" t="s">
        <v>265</v>
      </c>
    </row>
    <row r="4" customFormat="false" ht="23.85" hidden="false" customHeight="false" outlineLevel="0" collapsed="false">
      <c r="A4" s="7" t="s">
        <v>266</v>
      </c>
      <c r="B4" s="7" t="s">
        <v>267</v>
      </c>
      <c r="C4" s="7" t="s">
        <v>268</v>
      </c>
      <c r="D4" s="7" t="s">
        <v>269</v>
      </c>
    </row>
    <row r="5" customFormat="false" ht="15" hidden="false" customHeight="false" outlineLevel="0" collapsed="false">
      <c r="A5" s="8" t="s">
        <v>270</v>
      </c>
      <c r="B5" s="8" t="s">
        <v>271</v>
      </c>
      <c r="C5" s="8" t="s">
        <v>272</v>
      </c>
      <c r="D5" s="8" t="s">
        <v>273</v>
      </c>
    </row>
    <row r="6" customFormat="false" ht="15" hidden="false" customHeight="false" outlineLevel="0" collapsed="false">
      <c r="A6" s="7" t="s">
        <v>274</v>
      </c>
      <c r="B6" s="7" t="s">
        <v>275</v>
      </c>
      <c r="C6" s="7" t="s">
        <v>276</v>
      </c>
      <c r="D6" s="7" t="s">
        <v>273</v>
      </c>
    </row>
  </sheetData>
  <autoFilter ref="A1:D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80"/>
  </cols>
  <sheetData>
    <row r="1" customFormat="false" ht="27.75" hidden="false" customHeight="true" outlineLevel="0" collapsed="false">
      <c r="A1" s="6" t="s">
        <v>277</v>
      </c>
      <c r="B1" s="6" t="s">
        <v>278</v>
      </c>
      <c r="C1" s="6" t="s">
        <v>279</v>
      </c>
    </row>
    <row r="2" customFormat="false" ht="23.85" hidden="false" customHeight="false" outlineLevel="0" collapsed="false">
      <c r="A2" s="7" t="s">
        <v>280</v>
      </c>
      <c r="B2" s="7" t="s">
        <v>281</v>
      </c>
      <c r="C2" s="7" t="s">
        <v>282</v>
      </c>
    </row>
    <row r="3" customFormat="false" ht="23.85" hidden="false" customHeight="false" outlineLevel="0" collapsed="false">
      <c r="A3" s="8" t="s">
        <v>283</v>
      </c>
      <c r="B3" s="8" t="s">
        <v>284</v>
      </c>
      <c r="C3" s="8" t="s">
        <v>285</v>
      </c>
    </row>
    <row r="4" customFormat="false" ht="15" hidden="false" customHeight="false" outlineLevel="0" collapsed="false">
      <c r="A4" s="7" t="s">
        <v>286</v>
      </c>
      <c r="B4" s="7" t="s">
        <v>287</v>
      </c>
      <c r="C4" s="7" t="s">
        <v>288</v>
      </c>
    </row>
    <row r="5" customFormat="false" ht="15" hidden="false" customHeight="false" outlineLevel="0" collapsed="false">
      <c r="A5" s="8" t="s">
        <v>289</v>
      </c>
      <c r="B5" s="8" t="s">
        <v>290</v>
      </c>
      <c r="C5" s="8" t="s">
        <v>291</v>
      </c>
    </row>
    <row r="6" customFormat="false" ht="23.85" hidden="false" customHeight="false" outlineLevel="0" collapsed="false">
      <c r="A6" s="7" t="s">
        <v>292</v>
      </c>
      <c r="B6" s="7" t="s">
        <v>293</v>
      </c>
      <c r="C6" s="7" t="s">
        <v>294</v>
      </c>
    </row>
    <row r="7" customFormat="false" ht="57.45" hidden="false" customHeight="false" outlineLevel="0" collapsed="false">
      <c r="A7" s="8" t="s">
        <v>295</v>
      </c>
      <c r="B7" s="8" t="s">
        <v>296</v>
      </c>
      <c r="C7" s="8" t="s">
        <v>297</v>
      </c>
    </row>
    <row r="8" customFormat="false" ht="15" hidden="false" customHeight="false" outlineLevel="0" collapsed="false">
      <c r="A8" s="7" t="s">
        <v>298</v>
      </c>
      <c r="B8" s="7" t="s">
        <v>299</v>
      </c>
      <c r="C8" s="7" t="s">
        <v>300</v>
      </c>
    </row>
    <row r="9" customFormat="false" ht="15" hidden="false" customHeight="false" outlineLevel="0" collapsed="false">
      <c r="A9" s="8" t="s">
        <v>301</v>
      </c>
      <c r="B9" s="8" t="s">
        <v>302</v>
      </c>
      <c r="C9" s="8" t="s">
        <v>303</v>
      </c>
    </row>
  </sheetData>
  <autoFilter ref="A1:C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4"/>
    <col collapsed="false" customWidth="true" hidden="false" outlineLevel="0" max="3" min="3" style="0" width="90"/>
  </cols>
  <sheetData>
    <row r="1" customFormat="false" ht="27.75" hidden="false" customHeight="true" outlineLevel="0" collapsed="false">
      <c r="A1" s="6" t="s">
        <v>304</v>
      </c>
      <c r="B1" s="6" t="s">
        <v>305</v>
      </c>
      <c r="C1" s="6" t="s">
        <v>306</v>
      </c>
    </row>
    <row r="2" customFormat="false" ht="23.85" hidden="false" customHeight="false" outlineLevel="0" collapsed="false">
      <c r="A2" s="7" t="s">
        <v>307</v>
      </c>
      <c r="B2" s="7" t="s">
        <v>308</v>
      </c>
      <c r="C2" s="7" t="s">
        <v>309</v>
      </c>
    </row>
    <row r="3" customFormat="false" ht="23.85" hidden="false" customHeight="false" outlineLevel="0" collapsed="false">
      <c r="A3" s="8" t="s">
        <v>310</v>
      </c>
      <c r="B3" s="8" t="s">
        <v>311</v>
      </c>
      <c r="C3" s="8" t="s">
        <v>312</v>
      </c>
    </row>
    <row r="4" customFormat="false" ht="15" hidden="false" customHeight="false" outlineLevel="0" collapsed="false">
      <c r="A4" s="7" t="s">
        <v>313</v>
      </c>
      <c r="B4" s="7" t="s">
        <v>314</v>
      </c>
      <c r="C4" s="7" t="s">
        <v>315</v>
      </c>
    </row>
    <row r="5" customFormat="false" ht="23.85" hidden="false" customHeight="false" outlineLevel="0" collapsed="false">
      <c r="A5" s="8" t="s">
        <v>316</v>
      </c>
      <c r="B5" s="8" t="s">
        <v>317</v>
      </c>
      <c r="C5" s="8" t="s">
        <v>318</v>
      </c>
    </row>
    <row r="6" customFormat="false" ht="15" hidden="false" customHeight="false" outlineLevel="0" collapsed="false">
      <c r="A6" s="7" t="s">
        <v>319</v>
      </c>
      <c r="B6" s="7" t="s">
        <v>320</v>
      </c>
      <c r="C6" s="7" t="s">
        <v>321</v>
      </c>
    </row>
    <row r="7" customFormat="false" ht="15" hidden="false" customHeight="false" outlineLevel="0" collapsed="false">
      <c r="A7" s="8" t="s">
        <v>322</v>
      </c>
      <c r="B7" s="8" t="s">
        <v>314</v>
      </c>
      <c r="C7" s="8" t="s">
        <v>323</v>
      </c>
    </row>
    <row r="8" customFormat="false" ht="15" hidden="false" customHeight="false" outlineLevel="0" collapsed="false">
      <c r="A8" s="7" t="s">
        <v>324</v>
      </c>
      <c r="B8" s="7" t="s">
        <v>325</v>
      </c>
      <c r="C8" s="7" t="s">
        <v>326</v>
      </c>
    </row>
    <row r="9" customFormat="false" ht="15" hidden="false" customHeight="false" outlineLevel="0" collapsed="false">
      <c r="A9" s="8" t="s">
        <v>327</v>
      </c>
      <c r="B9" s="8" t="s">
        <v>328</v>
      </c>
      <c r="C9" s="8" t="s">
        <v>329</v>
      </c>
    </row>
    <row r="10" customFormat="false" ht="15" hidden="false" customHeight="false" outlineLevel="0" collapsed="false">
      <c r="A10" s="7" t="s">
        <v>330</v>
      </c>
      <c r="B10" s="7" t="s">
        <v>331</v>
      </c>
      <c r="C10" s="7" t="s">
        <v>332</v>
      </c>
    </row>
    <row r="11" customFormat="false" ht="15" hidden="false" customHeight="false" outlineLevel="0" collapsed="false">
      <c r="A11" s="8" t="s">
        <v>333</v>
      </c>
      <c r="B11" s="8" t="s">
        <v>209</v>
      </c>
      <c r="C11" s="8" t="s">
        <v>334</v>
      </c>
    </row>
    <row r="12" customFormat="false" ht="15" hidden="false" customHeight="false" outlineLevel="0" collapsed="false">
      <c r="A12" s="7" t="s">
        <v>335</v>
      </c>
      <c r="B12" s="7" t="s">
        <v>336</v>
      </c>
      <c r="C12" s="7" t="s">
        <v>337</v>
      </c>
    </row>
  </sheetData>
  <autoFilter ref="A1:C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80"/>
    <col collapsed="false" customWidth="true" hidden="false" outlineLevel="0" max="4" min="4" style="0" width="44"/>
    <col collapsed="false" customWidth="true" hidden="false" outlineLevel="0" max="5" min="5" style="0" width="26"/>
    <col collapsed="false" customWidth="true" hidden="false" outlineLevel="0" max="6" min="6" style="0" width="12"/>
    <col collapsed="false" customWidth="true" hidden="false" outlineLevel="0" max="7" min="7" style="0" width="34"/>
  </cols>
  <sheetData>
    <row r="1" customFormat="false" ht="27.75" hidden="false" customHeight="true" outlineLevel="0" collapsed="false">
      <c r="A1" s="6" t="s">
        <v>216</v>
      </c>
      <c r="B1" s="6" t="s">
        <v>338</v>
      </c>
      <c r="C1" s="6" t="s">
        <v>339</v>
      </c>
      <c r="D1" s="6" t="s">
        <v>340</v>
      </c>
      <c r="E1" s="6" t="s">
        <v>341</v>
      </c>
      <c r="F1" s="6" t="s">
        <v>342</v>
      </c>
      <c r="G1" s="6" t="s">
        <v>343</v>
      </c>
    </row>
    <row r="2" customFormat="false" ht="46.25" hidden="false" customHeight="false" outlineLevel="0" collapsed="false">
      <c r="A2" s="7" t="s">
        <v>344</v>
      </c>
      <c r="B2" s="7" t="s">
        <v>345</v>
      </c>
      <c r="C2" s="7" t="s">
        <v>346</v>
      </c>
      <c r="D2" s="7" t="s">
        <v>347</v>
      </c>
      <c r="E2" s="7" t="s">
        <v>348</v>
      </c>
      <c r="F2" s="9" t="s">
        <v>49</v>
      </c>
      <c r="G2" s="9"/>
    </row>
    <row r="3" customFormat="false" ht="35.05" hidden="false" customHeight="false" outlineLevel="0" collapsed="false">
      <c r="A3" s="8" t="s">
        <v>349</v>
      </c>
      <c r="B3" s="8" t="s">
        <v>345</v>
      </c>
      <c r="C3" s="8" t="s">
        <v>350</v>
      </c>
      <c r="D3" s="8" t="s">
        <v>351</v>
      </c>
      <c r="E3" s="8" t="s">
        <v>352</v>
      </c>
      <c r="F3" s="9" t="s">
        <v>49</v>
      </c>
      <c r="G3" s="9"/>
    </row>
    <row r="4" customFormat="false" ht="35.05" hidden="false" customHeight="false" outlineLevel="0" collapsed="false">
      <c r="A4" s="7" t="s">
        <v>353</v>
      </c>
      <c r="B4" s="7" t="s">
        <v>345</v>
      </c>
      <c r="C4" s="7" t="s">
        <v>354</v>
      </c>
      <c r="D4" s="7" t="s">
        <v>355</v>
      </c>
      <c r="E4" s="7" t="s">
        <v>356</v>
      </c>
      <c r="F4" s="9" t="s">
        <v>49</v>
      </c>
      <c r="G4" s="9"/>
    </row>
    <row r="5" customFormat="false" ht="35.05" hidden="false" customHeight="false" outlineLevel="0" collapsed="false">
      <c r="A5" s="8" t="s">
        <v>357</v>
      </c>
      <c r="B5" s="8" t="s">
        <v>358</v>
      </c>
      <c r="C5" s="8" t="s">
        <v>359</v>
      </c>
      <c r="D5" s="8" t="s">
        <v>360</v>
      </c>
      <c r="E5" s="8" t="s">
        <v>361</v>
      </c>
      <c r="F5" s="9" t="s">
        <v>49</v>
      </c>
      <c r="G5" s="9"/>
    </row>
    <row r="6" customFormat="false" ht="57.45" hidden="false" customHeight="false" outlineLevel="0" collapsed="false">
      <c r="A6" s="7" t="s">
        <v>362</v>
      </c>
      <c r="B6" s="7" t="s">
        <v>363</v>
      </c>
      <c r="C6" s="7" t="s">
        <v>364</v>
      </c>
      <c r="D6" s="7" t="s">
        <v>365</v>
      </c>
      <c r="E6" s="7" t="s">
        <v>366</v>
      </c>
      <c r="F6" s="9" t="s">
        <v>49</v>
      </c>
      <c r="G6" s="9"/>
    </row>
    <row r="7" customFormat="false" ht="35.05" hidden="false" customHeight="false" outlineLevel="0" collapsed="false">
      <c r="A7" s="8" t="s">
        <v>367</v>
      </c>
      <c r="B7" s="8" t="s">
        <v>368</v>
      </c>
      <c r="C7" s="8" t="s">
        <v>369</v>
      </c>
      <c r="D7" s="8" t="s">
        <v>370</v>
      </c>
      <c r="E7" s="8" t="s">
        <v>371</v>
      </c>
      <c r="F7" s="9" t="s">
        <v>49</v>
      </c>
      <c r="G7" s="9"/>
    </row>
    <row r="8" customFormat="false" ht="46.25" hidden="false" customHeight="false" outlineLevel="0" collapsed="false">
      <c r="A8" s="7" t="s">
        <v>372</v>
      </c>
      <c r="B8" s="7" t="s">
        <v>234</v>
      </c>
      <c r="C8" s="7" t="s">
        <v>373</v>
      </c>
      <c r="D8" s="7" t="s">
        <v>374</v>
      </c>
      <c r="E8" s="7" t="s">
        <v>375</v>
      </c>
      <c r="F8" s="9" t="s">
        <v>49</v>
      </c>
      <c r="G8" s="9"/>
    </row>
    <row r="9" customFormat="false" ht="35.05" hidden="false" customHeight="false" outlineLevel="0" collapsed="false">
      <c r="A9" s="8" t="s">
        <v>376</v>
      </c>
      <c r="B9" s="8" t="s">
        <v>377</v>
      </c>
      <c r="C9" s="8" t="s">
        <v>378</v>
      </c>
      <c r="D9" s="8" t="s">
        <v>379</v>
      </c>
      <c r="E9" s="8" t="s">
        <v>380</v>
      </c>
      <c r="F9" s="9" t="s">
        <v>49</v>
      </c>
      <c r="G9" s="9"/>
    </row>
    <row r="10" customFormat="false" ht="35.05" hidden="false" customHeight="false" outlineLevel="0" collapsed="false">
      <c r="A10" s="7" t="s">
        <v>381</v>
      </c>
      <c r="B10" s="7" t="s">
        <v>382</v>
      </c>
      <c r="C10" s="7" t="s">
        <v>383</v>
      </c>
      <c r="D10" s="7" t="s">
        <v>384</v>
      </c>
      <c r="E10" s="7" t="s">
        <v>385</v>
      </c>
      <c r="F10" s="9" t="s">
        <v>49</v>
      </c>
      <c r="G10" s="9"/>
    </row>
    <row r="11" customFormat="false" ht="46.25" hidden="false" customHeight="false" outlineLevel="0" collapsed="false">
      <c r="A11" s="8" t="s">
        <v>386</v>
      </c>
      <c r="B11" s="8" t="s">
        <v>14</v>
      </c>
      <c r="C11" s="8" t="s">
        <v>387</v>
      </c>
      <c r="D11" s="8" t="s">
        <v>388</v>
      </c>
      <c r="E11" s="8" t="s">
        <v>336</v>
      </c>
      <c r="F11" s="9" t="s">
        <v>49</v>
      </c>
      <c r="G11" s="9"/>
    </row>
    <row r="12" customFormat="false" ht="46.25" hidden="false" customHeight="false" outlineLevel="0" collapsed="false">
      <c r="A12" s="7" t="s">
        <v>389</v>
      </c>
      <c r="B12" s="7" t="s">
        <v>390</v>
      </c>
      <c r="C12" s="7" t="s">
        <v>391</v>
      </c>
      <c r="D12" s="7" t="s">
        <v>392</v>
      </c>
      <c r="E12" s="7" t="s">
        <v>393</v>
      </c>
      <c r="F12" s="9" t="s">
        <v>49</v>
      </c>
      <c r="G12" s="9"/>
    </row>
    <row r="13" customFormat="false" ht="23.85" hidden="false" customHeight="false" outlineLevel="0" collapsed="false">
      <c r="A13" s="8" t="s">
        <v>394</v>
      </c>
      <c r="B13" s="8" t="s">
        <v>395</v>
      </c>
      <c r="C13" s="8" t="s">
        <v>396</v>
      </c>
      <c r="D13" s="8" t="s">
        <v>397</v>
      </c>
      <c r="E13" s="8" t="s">
        <v>398</v>
      </c>
      <c r="F13" s="9" t="s">
        <v>49</v>
      </c>
      <c r="G13" s="9"/>
    </row>
    <row r="14" customFormat="false" ht="23.85" hidden="false" customHeight="false" outlineLevel="0" collapsed="false">
      <c r="A14" s="7" t="s">
        <v>399</v>
      </c>
      <c r="B14" s="7" t="s">
        <v>400</v>
      </c>
      <c r="C14" s="7" t="s">
        <v>401</v>
      </c>
      <c r="D14" s="7" t="s">
        <v>379</v>
      </c>
      <c r="E14" s="7" t="s">
        <v>398</v>
      </c>
      <c r="F14" s="9" t="s">
        <v>49</v>
      </c>
      <c r="G14" s="9"/>
    </row>
    <row r="15" customFormat="false" ht="35.05" hidden="false" customHeight="false" outlineLevel="0" collapsed="false">
      <c r="A15" s="8" t="s">
        <v>402</v>
      </c>
      <c r="B15" s="8" t="s">
        <v>403</v>
      </c>
      <c r="C15" s="8" t="s">
        <v>404</v>
      </c>
      <c r="D15" s="8" t="s">
        <v>405</v>
      </c>
      <c r="E15" s="8" t="s">
        <v>398</v>
      </c>
      <c r="F15" s="9" t="s">
        <v>49</v>
      </c>
      <c r="G15" s="9"/>
    </row>
  </sheetData>
  <autoFilter ref="A1:G15"/>
  <dataValidations count="1">
    <dataValidation allowBlank="false" errorStyle="stop" operator="between" showDropDown="false" showErrorMessage="false" showInputMessage="false" sqref="F2:F1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60"/>
    <col collapsed="false" customWidth="true" hidden="false" outlineLevel="0" max="4" min="4" style="0" width="56"/>
    <col collapsed="false" customWidth="true" hidden="false" outlineLevel="0" max="5" min="5" style="0" width="28"/>
    <col collapsed="false" customWidth="true" hidden="false" outlineLevel="0" max="6" min="6" style="0" width="12"/>
    <col collapsed="false" customWidth="true" hidden="false" outlineLevel="0" max="7" min="7" style="0" width="22"/>
    <col collapsed="false" customWidth="true" hidden="false" outlineLevel="0" max="8" min="8" style="0" width="34"/>
  </cols>
  <sheetData>
    <row r="1" customFormat="false" ht="27.75" hidden="false" customHeight="true" outlineLevel="0" collapsed="false">
      <c r="A1" s="6" t="s">
        <v>216</v>
      </c>
      <c r="B1" s="6" t="s">
        <v>406</v>
      </c>
      <c r="C1" s="6" t="s">
        <v>407</v>
      </c>
      <c r="D1" s="6" t="s">
        <v>408</v>
      </c>
      <c r="E1" s="6" t="s">
        <v>409</v>
      </c>
      <c r="F1" s="6" t="s">
        <v>410</v>
      </c>
      <c r="G1" s="6" t="s">
        <v>411</v>
      </c>
      <c r="H1" s="6" t="s">
        <v>412</v>
      </c>
    </row>
    <row r="2" customFormat="false" ht="46.25" hidden="false" customHeight="false" outlineLevel="0" collapsed="false">
      <c r="A2" s="7" t="s">
        <v>413</v>
      </c>
      <c r="B2" s="7" t="s">
        <v>414</v>
      </c>
      <c r="C2" s="7" t="s">
        <v>415</v>
      </c>
      <c r="D2" s="7" t="s">
        <v>416</v>
      </c>
      <c r="E2" s="7" t="s">
        <v>417</v>
      </c>
      <c r="F2" s="7" t="s">
        <v>418</v>
      </c>
      <c r="G2" s="9"/>
      <c r="H2" s="9"/>
    </row>
    <row r="3" customFormat="false" ht="23.85" hidden="false" customHeight="false" outlineLevel="0" collapsed="false">
      <c r="A3" s="8" t="s">
        <v>419</v>
      </c>
      <c r="B3" s="8" t="s">
        <v>420</v>
      </c>
      <c r="C3" s="8" t="s">
        <v>421</v>
      </c>
      <c r="D3" s="8" t="s">
        <v>422</v>
      </c>
      <c r="E3" s="8" t="s">
        <v>423</v>
      </c>
      <c r="F3" s="8" t="s">
        <v>418</v>
      </c>
      <c r="G3" s="9"/>
      <c r="H3" s="9"/>
    </row>
    <row r="4" customFormat="false" ht="15" hidden="false" customHeight="false" outlineLevel="0" collapsed="false">
      <c r="A4" s="7" t="s">
        <v>424</v>
      </c>
      <c r="B4" s="7" t="s">
        <v>425</v>
      </c>
      <c r="C4" s="7" t="s">
        <v>426</v>
      </c>
      <c r="D4" s="7" t="s">
        <v>427</v>
      </c>
      <c r="E4" s="7" t="s">
        <v>428</v>
      </c>
      <c r="F4" s="7" t="s">
        <v>418</v>
      </c>
      <c r="G4" s="9"/>
      <c r="H4" s="9"/>
    </row>
    <row r="5" customFormat="false" ht="23.85" hidden="false" customHeight="false" outlineLevel="0" collapsed="false">
      <c r="A5" s="8" t="s">
        <v>429</v>
      </c>
      <c r="B5" s="8" t="s">
        <v>430</v>
      </c>
      <c r="C5" s="8" t="s">
        <v>431</v>
      </c>
      <c r="D5" s="8" t="s">
        <v>432</v>
      </c>
      <c r="E5" s="8" t="s">
        <v>433</v>
      </c>
      <c r="F5" s="8" t="s">
        <v>418</v>
      </c>
      <c r="G5" s="9"/>
      <c r="H5" s="9"/>
    </row>
    <row r="6" customFormat="false" ht="23.85" hidden="false" customHeight="false" outlineLevel="0" collapsed="false">
      <c r="A6" s="7" t="s">
        <v>434</v>
      </c>
      <c r="B6" s="7" t="s">
        <v>435</v>
      </c>
      <c r="C6" s="7" t="s">
        <v>436</v>
      </c>
      <c r="D6" s="7" t="s">
        <v>437</v>
      </c>
      <c r="E6" s="7" t="s">
        <v>438</v>
      </c>
      <c r="F6" s="7" t="s">
        <v>418</v>
      </c>
      <c r="G6" s="9"/>
      <c r="H6" s="9"/>
    </row>
    <row r="7" customFormat="false" ht="23.85" hidden="false" customHeight="false" outlineLevel="0" collapsed="false">
      <c r="A7" s="8" t="s">
        <v>439</v>
      </c>
      <c r="B7" s="8" t="s">
        <v>440</v>
      </c>
      <c r="C7" s="8" t="s">
        <v>441</v>
      </c>
      <c r="D7" s="8" t="s">
        <v>442</v>
      </c>
      <c r="E7" s="8" t="s">
        <v>443</v>
      </c>
      <c r="F7" s="8" t="s">
        <v>418</v>
      </c>
      <c r="G7" s="9"/>
      <c r="H7" s="9"/>
    </row>
    <row r="8" customFormat="false" ht="23.85" hidden="false" customHeight="false" outlineLevel="0" collapsed="false">
      <c r="A8" s="7" t="s">
        <v>444</v>
      </c>
      <c r="B8" s="7" t="s">
        <v>445</v>
      </c>
      <c r="C8" s="7" t="s">
        <v>446</v>
      </c>
      <c r="D8" s="7" t="s">
        <v>447</v>
      </c>
      <c r="E8" s="7" t="s">
        <v>448</v>
      </c>
      <c r="F8" s="7" t="s">
        <v>418</v>
      </c>
      <c r="G8" s="9"/>
      <c r="H8" s="9"/>
    </row>
    <row r="9" customFormat="false" ht="23.85" hidden="false" customHeight="false" outlineLevel="0" collapsed="false">
      <c r="A9" s="8" t="s">
        <v>449</v>
      </c>
      <c r="B9" s="8" t="s">
        <v>450</v>
      </c>
      <c r="C9" s="8" t="s">
        <v>451</v>
      </c>
      <c r="D9" s="8" t="s">
        <v>452</v>
      </c>
      <c r="E9" s="8" t="s">
        <v>453</v>
      </c>
      <c r="F9" s="8" t="s">
        <v>418</v>
      </c>
      <c r="G9" s="9"/>
      <c r="H9" s="9"/>
    </row>
  </sheetData>
  <autoFilter ref="A1:H9"/>
  <dataValidations count="1">
    <dataValidation allowBlank="false" errorStyle="stop" operator="between" showDropDown="false" showErrorMessage="false" showInputMessage="false" sqref="F2:F9" type="list">
      <formula1>"Open,Proposed,Agreed,Superseded"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10"/>
  </cols>
  <sheetData>
    <row r="1" customFormat="false" ht="27.75" hidden="false" customHeight="true" outlineLevel="0" collapsed="false">
      <c r="A1" s="6" t="s">
        <v>341</v>
      </c>
      <c r="B1" s="6" t="s">
        <v>454</v>
      </c>
    </row>
    <row r="2" customFormat="false" ht="15" hidden="false" customHeight="false" outlineLevel="0" collapsed="false">
      <c r="A2" s="7" t="s">
        <v>455</v>
      </c>
      <c r="B2" s="7" t="s">
        <v>456</v>
      </c>
    </row>
    <row r="3" customFormat="false" ht="15" hidden="false" customHeight="false" outlineLevel="0" collapsed="false">
      <c r="A3" s="8" t="s">
        <v>457</v>
      </c>
      <c r="B3" s="8" t="s">
        <v>458</v>
      </c>
    </row>
    <row r="4" customFormat="false" ht="15" hidden="false" customHeight="false" outlineLevel="0" collapsed="false">
      <c r="A4" s="7" t="s">
        <v>352</v>
      </c>
      <c r="B4" s="7" t="s">
        <v>459</v>
      </c>
    </row>
    <row r="5" customFormat="false" ht="15" hidden="false" customHeight="false" outlineLevel="0" collapsed="false">
      <c r="A5" s="8" t="s">
        <v>356</v>
      </c>
      <c r="B5" s="8" t="s">
        <v>460</v>
      </c>
    </row>
    <row r="6" customFormat="false" ht="15" hidden="false" customHeight="false" outlineLevel="0" collapsed="false">
      <c r="A6" s="7" t="s">
        <v>461</v>
      </c>
      <c r="B6" s="7" t="s">
        <v>462</v>
      </c>
    </row>
    <row r="7" customFormat="false" ht="23.85" hidden="false" customHeight="false" outlineLevel="0" collapsed="false">
      <c r="A7" s="8" t="s">
        <v>463</v>
      </c>
      <c r="B7" s="8" t="s">
        <v>464</v>
      </c>
    </row>
    <row r="8" customFormat="false" ht="15" hidden="false" customHeight="false" outlineLevel="0" collapsed="false">
      <c r="A8" s="7" t="s">
        <v>465</v>
      </c>
      <c r="B8" s="7" t="s">
        <v>466</v>
      </c>
    </row>
  </sheetData>
  <autoFilter ref="A1:B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2026-10-03T14:18:28Z</dcterms:created>
  <dc:creator>openpyxl</dc:creator>
  <dc:description/>
  <dc:language>en-US</dc:language>
  <cp:lastModifiedBy/>
  <dcterms:modified xsi:type="dcterms:W3CDTF">2026-10-03T14:18:29Z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