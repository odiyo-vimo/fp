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cision register" sheetId="1" state="visible" r:id="rId3"/>
    <sheet name="Assumption log" sheetId="2" state="visible" r:id="rId4"/>
    <sheet name="Described in brief"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<sst xmlns="http://schemas.openxmlformats.org/spreadsheetml/2006/main" count="209" uniqueCount="136">
  <si>
    <t xml:space="preserve">Ref</t>
  </si>
  <si>
    <t xml:space="preserve">Area</t>
  </si>
  <si>
    <t xml:space="preserve">Decision</t>
  </si>
  <si>
    <t xml:space="preserve">Position today</t>
  </si>
  <si>
    <t xml:space="preserve">Why it matters</t>
  </si>
  <si>
    <t xml:space="preserve">Impact</t>
  </si>
  <si>
    <t xml:space="preserve">Status</t>
  </si>
  <si>
    <t xml:space="preserve">Owner</t>
  </si>
  <si>
    <t xml:space="preserve">Linked</t>
  </si>
  <si>
    <t xml:space="preserve">D-CL-01</t>
  </si>
  <si>
    <t xml:space="preserve">Platform</t>
  </si>
  <si>
    <t xml:space="preserve">Target cloud platform is contradictory in the brief</t>
  </si>
  <si>
    <t xml:space="preserve">The brief describes EC2 instances running in Azure infrastructure. EC2 is AWS compute; the Azure equivalent is Virtual Machines or a Scale Set.</t>
  </si>
  <si>
    <t xml:space="preserve">Changes the load balancer product, health probe model, availability zone construct and firewall change route.</t>
  </si>
  <si>
    <t xml:space="preserve">High</t>
  </si>
  <si>
    <t xml:space="preserve">Open</t>
  </si>
  <si>
    <t xml:space="preserve">To assign</t>
  </si>
  <si>
    <t xml:space="preserve">D-CL-02</t>
  </si>
  <si>
    <t xml:space="preserve">Scope</t>
  </si>
  <si>
    <t xml:space="preserve">Expansion and scope of HOD</t>
  </si>
  <si>
    <t xml:space="preserve">HOD is used without expansion and the endpoint inventory is not named.</t>
  </si>
  <si>
    <t xml:space="preserve">Destination endpoints cannot be documented or security assessed until the term is confirmed.</t>
  </si>
  <si>
    <t xml:space="preserve">D-CL-03</t>
  </si>
  <si>
    <t xml:space="preserve">Load balancing</t>
  </si>
  <si>
    <t xml:space="preserve">Load balancer layer, L4 against L7</t>
  </si>
  <si>
    <t xml:space="preserve">SFTP and FTPS are not HTTP so cannot be proxied by an HTTP aware load balancer. HTTPS and AS2 can use L7.</t>
  </si>
  <si>
    <t xml:space="preserve">May require two listener types or two load balancer instances. Affects cost and operating model.</t>
  </si>
  <si>
    <t xml:space="preserve">D-CL-04</t>
  </si>
  <si>
    <t xml:space="preserve">TLS termination against passthrough</t>
  </si>
  <si>
    <t xml:space="preserve">Terminating TLS loses client certificate identity unless explicitly forwarded. Passthrough limits health checking to the transport layer.</t>
  </si>
  <si>
    <t xml:space="preserve">Directly affects mTLS based authentication with partners and endpoints.</t>
  </si>
  <si>
    <t xml:space="preserve">D-CL-05</t>
  </si>
  <si>
    <t xml:space="preserve">Session persistence for multi channel protocols</t>
  </si>
  <si>
    <t xml:space="preserve">FTPS opens a separate data channel that must return to the same node.</t>
  </si>
  <si>
    <t xml:space="preserve">Without persistence, FTPS transfers fail intermittently and unpredictably.</t>
  </si>
  <si>
    <t xml:space="preserve">D-CL-06</t>
  </si>
  <si>
    <t xml:space="preserve">Network</t>
  </si>
  <si>
    <t xml:space="preserve">FTPS passive port range through load balancer and firewall</t>
  </si>
  <si>
    <t xml:space="preserve">A passive range must be agreed and opened consistently on load balancer, firewall and every node.</t>
  </si>
  <si>
    <t xml:space="preserve">Surfaces late as a firewall change with a long lead time if left unagreed.</t>
  </si>
  <si>
    <t xml:space="preserve">Medium</t>
  </si>
  <si>
    <t xml:space="preserve">D-CL-15</t>
  </si>
  <si>
    <t xml:space="preserve">D-CL-07</t>
  </si>
  <si>
    <t xml:space="preserve">Client IP preservation against source NAT</t>
  </si>
  <si>
    <t xml:space="preserve">Endpoints and partners commonly allow list by source IP, which source NAT hides.</t>
  </si>
  <si>
    <t xml:space="preserve">Allow lists at the far end stop working, or must be rewritten to the cluster egress address.</t>
  </si>
  <si>
    <t xml:space="preserve">D-CL-08</t>
  </si>
  <si>
    <t xml:space="preserve">Operations</t>
  </si>
  <si>
    <t xml:space="preserve">Health probe semantics</t>
  </si>
  <si>
    <t xml:space="preserve">An open TCP port is not evidence the transfer engine can accept work.</t>
  </si>
  <si>
    <t xml:space="preserve">A wedged but listening node stays in rotation and silently absorbs transfers.</t>
  </si>
  <si>
    <t xml:space="preserve">D-CL-09</t>
  </si>
  <si>
    <t xml:space="preserve">Resilience</t>
  </si>
  <si>
    <t xml:space="preserve">Shared cluster file system availability</t>
  </si>
  <si>
    <t xml:space="preserve">A single shared working directory is a single point of failure behind a resilient front end.</t>
  </si>
  <si>
    <t xml:space="preserve">Undercuts the value of clustering if not made highly available.</t>
  </si>
  <si>
    <t xml:space="preserve">D-CL-10</t>
  </si>
  <si>
    <t xml:space="preserve">Node drain behaviour for in flight transfers</t>
  </si>
  <si>
    <t xml:space="preserve">Behaviour of a transfer already running when its node leaves rotation is undefined.</t>
  </si>
  <si>
    <t xml:space="preserve">Restart from zero against resume from checkpoint changes large file transfer windows materially.</t>
  </si>
  <si>
    <t xml:space="preserve">D-CL-11</t>
  </si>
  <si>
    <t xml:space="preserve">Capacity</t>
  </si>
  <si>
    <t xml:space="preserve">Cluster sizing and the trigger to add a node</t>
  </si>
  <si>
    <t xml:space="preserve">Three nodes are illustrative. No scaling metric has been set.</t>
  </si>
  <si>
    <t xml:space="preserve">Capacity cannot be planned and cost cannot be forecast.</t>
  </si>
  <si>
    <t xml:space="preserve">D-CL-12</t>
  </si>
  <si>
    <t xml:space="preserve">Platform gap</t>
  </si>
  <si>
    <t xml:space="preserve">Config promotion across cluster nodes</t>
  </si>
  <si>
    <t xml:space="preserve">No native CI/CD path for MFT configuration promotion.</t>
  </si>
  <si>
    <t xml:space="preserve">Partial promotion produces a cluster that behaves differently by node, which is hard to diagnose.</t>
  </si>
  <si>
    <t xml:space="preserve">G-13</t>
  </si>
  <si>
    <t xml:space="preserve">D-CL-13</t>
  </si>
  <si>
    <t xml:space="preserve">Credential sourcing from PAM</t>
  </si>
  <si>
    <t xml:space="preserve">No documented native path to source MFT credentials from CyberArk PAM.</t>
  </si>
  <si>
    <t xml:space="preserve">Every node needs the same answer. Per node manual credentials do not scale.</t>
  </si>
  <si>
    <t xml:space="preserve">G-14</t>
  </si>
  <si>
    <t xml:space="preserve">D-CL-14</t>
  </si>
  <si>
    <t xml:space="preserve">AV scan ceiling against large transfers</t>
  </si>
  <si>
    <t xml:space="preserve">Scan limit of approximately 250 MB via Windows MDE sits below plausible transfer sizes.</t>
  </si>
  <si>
    <t xml:space="preserve">Behaviour above the ceiling, block, bypass or quarantine, must be a decision not a default.</t>
  </si>
  <si>
    <t xml:space="preserve">G-15</t>
  </si>
  <si>
    <t xml:space="preserve">Inbound firewall change lead time</t>
  </si>
  <si>
    <t xml:space="preserve">Inbound paths to the load balancer and onward to nodes require firewall change.</t>
  </si>
  <si>
    <t xml:space="preserve">On the critical path, the same constraint already identified for POC-2.</t>
  </si>
  <si>
    <t xml:space="preserve">D-CL-16</t>
  </si>
  <si>
    <t xml:space="preserve">Security</t>
  </si>
  <si>
    <t xml:space="preserve">Certificate lifecycle for the cluster virtual hostname</t>
  </si>
  <si>
    <t xml:space="preserve">One virtual hostname means one certificate whose expiry affects every interface at once.</t>
  </si>
  <si>
    <t xml:space="preserve">Needs named ownership of issuance, renewal and expiry monitoring.</t>
  </si>
  <si>
    <t xml:space="preserve">Total decisions</t>
  </si>
  <si>
    <t xml:space="preserve">High impact</t>
  </si>
  <si>
    <t xml:space="preserve">Still open</t>
  </si>
  <si>
    <t xml:space="preserve">Without a named owner</t>
  </si>
  <si>
    <t xml:space="preserve">Edit the Status and Owner columns only. Replace 'To assign' with a name and a target date in the Status column when a decision is picked up. Counts above recalculate automatically.</t>
  </si>
  <si>
    <t xml:space="preserve">Assumption</t>
  </si>
  <si>
    <t xml:space="preserve">Basis</t>
  </si>
  <si>
    <t xml:space="preserve">Linked decision</t>
  </si>
  <si>
    <t xml:space="preserve">A-01</t>
  </si>
  <si>
    <t xml:space="preserve">Three cluster nodes</t>
  </si>
  <si>
    <t xml:space="preserve">Illustrative only. No capacity analysis behind the number.</t>
  </si>
  <si>
    <t xml:space="preserve">Unconfirmed</t>
  </si>
  <si>
    <t xml:space="preserve">A-02</t>
  </si>
  <si>
    <t xml:space="preserve">Availability zone spread across nodes</t>
  </si>
  <si>
    <t xml:space="preserve">Standard pattern, not stated in the brief.</t>
  </si>
  <si>
    <t xml:space="preserve">A-03</t>
  </si>
  <si>
    <t xml:space="preserve">Single DNS virtual hostname in front of the load balancer</t>
  </si>
  <si>
    <t xml:space="preserve">Assumed so node addresses are never published.</t>
  </si>
  <si>
    <t xml:space="preserve">A-04</t>
  </si>
  <si>
    <t xml:space="preserve">Shared cluster file system</t>
  </si>
  <si>
    <t xml:space="preserve">Assumed as a common working and staging directory.</t>
  </si>
  <si>
    <t xml:space="preserve">A-05</t>
  </si>
  <si>
    <t xml:space="preserve">Shared cluster database with TTL cache table</t>
  </si>
  <si>
    <t xml:space="preserve">Required because the built in Cache shape is node local.</t>
  </si>
  <si>
    <t xml:space="preserve">A-06</t>
  </si>
  <si>
    <t xml:space="preserve">Credential sourcing, AV scan and telemetry as cluster wide services</t>
  </si>
  <si>
    <t xml:space="preserve">Assumed rather than per node.</t>
  </si>
  <si>
    <t xml:space="preserve">A-07</t>
  </si>
  <si>
    <t xml:space="preserve">Protocol set of SFTP, FTPS, HTTPS and AS2</t>
  </si>
  <si>
    <t xml:space="preserve">Assumed from the wider catalogue, not stated in the brief.</t>
  </si>
  <si>
    <t xml:space="preserve">A-08</t>
  </si>
  <si>
    <t xml:space="preserve">Three endpoint styles at the host end</t>
  </si>
  <si>
    <t xml:space="preserve">SFTP, network file share and application drop zone shown illustratively.</t>
  </si>
  <si>
    <t xml:space="preserve">Unconfirmed assumptions</t>
  </si>
  <si>
    <t xml:space="preserve">Everything on this sheet was added to make the described shape deployable. None of it came from the source brief. Confirm or remove each line before the architecture is treated as settled.</t>
  </si>
  <si>
    <t xml:space="preserve">Statement</t>
  </si>
  <si>
    <t xml:space="preserve">Source</t>
  </si>
  <si>
    <t xml:space="preserve">S-01</t>
  </si>
  <si>
    <t xml:space="preserve">MFT runtime is hosted on Boomi Managed Cloud Services</t>
  </si>
  <si>
    <t xml:space="preserve">Stated in the brief</t>
  </si>
  <si>
    <t xml:space="preserve">S-02</t>
  </si>
  <si>
    <t xml:space="preserve">The MFT runtime calls a load balancer</t>
  </si>
  <si>
    <t xml:space="preserve">S-03</t>
  </si>
  <si>
    <t xml:space="preserve">The load balancer calls internally to compute instances where the nodes are present</t>
  </si>
  <si>
    <t xml:space="preserve">S-04</t>
  </si>
  <si>
    <t xml:space="preserve">The node connects to the respective HOD endpoint</t>
  </si>
  <si>
    <t xml:space="preserve">These four statements are the whole of what was described. Everything else in the architecture sits on the Assumption log.</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</si>
</sst>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name val="Arial"/>
      <family val="0"/>
      <charset val="1"/>
    </font>
    <font>
      <i val="true"/>
      <sz val="9"/>
      <color rgb="FF5B6B7D"/>
      <name val="Arial"/>
      <family val="0"/>
      <charset val="1"/>
    </font>
  </fonts>
  <fills count="5">
    <fill>
      <patternFill patternType="none"/>
    </fill>
    <fill>
      <patternFill patternType="gray125"/>
    </fill>
    <fill>
      <patternFill patternType="solid">
        <fgColor rgb="FF12123A"/>
        <bgColor rgb="FF000000"/>
      </patternFill>
    </fill>
    <fill>
      <patternFill patternType="solid">
        <fgColor rgb="FFF3F7FC"/>
        <bgColor rgb="FFFBF5E8"/>
      </patternFill>
    </fill>
    <fill>
      <patternFill patternType="solid">
        <fgColor rgb="FFFBF5E8"/>
        <bgColor rgb="FFF3F7FC"/>
      </patternFill>
    </fill>
  </fills>
  <borders count="2">
    <border diagonalUp="false" diagonalDown="false">
      <left/>
      <right/>
      <top/>
      <bottom/>
      <diagonal/>
    </border>
    <border diagonalUp="false" diagonalDown="false">
      <left style="thin">
        <color rgb="FFCDD8E8"/>
      </left>
      <right style="thin">
        <color rgb="FFCDD8E8"/>
      </right>
      <top style="thin">
        <color rgb="FFCDD8E8"/>
      </top>
      <bottom style="thin">
        <color rgb="FFCDD8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12123A"/>
      <rgbColor rgb="FF808000"/>
      <rgbColor rgb="FF800080"/>
      <rgbColor rgb="FF008080"/>
      <rgbColor rgb="FFC0C0C0"/>
      <rgbColor rgb="FF808080"/>
      <rgbColor rgb="FF9999FF"/>
      <rgbColor rgb="FF993366"/>
      <rgbColor rgb="FFFBF5E8"/>
      <rgbColor rgb="FFF3F7FC"/>
      <rgbColor rgb="FF660066"/>
      <rgbColor rgb="FFFF8080"/>
      <rgbColor rgb="FF0066CC"/>
      <rgbColor rgb="FFCDD8E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B7D"/>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5"/>
    <col collapsed="false" customWidth="true" hidden="false" outlineLevel="0" max="3" min="3" style="0" width="34"/>
    <col collapsed="false" customWidth="true" hidden="false" outlineLevel="0" max="5" min="4" style="0" width="52"/>
    <col collapsed="false" customWidth="true" hidden="false" outlineLevel="0" max="7" min="6" style="0" width="10"/>
    <col collapsed="false" customWidth="true" hidden="false" outlineLevel="0" max="8" min="8" style="0" width="14"/>
    <col collapsed="false" customWidth="true" hidden="false" outlineLevel="0" max="9" min="9" style="0" width="12"/>
  </cols>
  <sheetData>
    <row r="1" customFormat="false" ht="30" hidden="false" customHeight="true" outlineLevel="0" collapsed="false">
      <c r="A1" s="1" t="s">
        <v>0</v>
      </c>
      <c r="B1" s="1" t="s">
        <v>1</v>
      </c>
      <c r="C1" s="1" t="s">
        <v>2</v>
      </c>
      <c r="D1" s="1" t="s">
        <v>3</v>
      </c>
      <c r="E1" s="1" t="s">
        <v>4</v>
      </c>
      <c r="F1" s="1" t="s">
        <v>5</v>
      </c>
      <c r="G1" s="1" t="s">
        <v>6</v>
      </c>
      <c r="H1" s="1" t="s">
        <v>7</v>
      </c>
      <c r="I1" s="1" t="s">
        <v>8</v>
      </c>
    </row>
    <row r="2" customFormat="false" ht="57.75" hidden="false" customHeight="true" outlineLevel="0" collapsed="false">
      <c r="A2" s="2" t="s">
        <v>9</v>
      </c>
      <c r="B2" s="3" t="s">
        <v>10</v>
      </c>
      <c r="C2" s="4" t="s">
        <v>11</v>
      </c>
      <c r="D2" s="4" t="s">
        <v>12</v>
      </c>
      <c r="E2" s="4" t="s">
        <v>13</v>
      </c>
      <c r="F2" s="4" t="s">
        <v>14</v>
      </c>
      <c r="G2" s="4" t="s">
        <v>15</v>
      </c>
      <c r="H2" s="4" t="s">
        <v>16</v>
      </c>
      <c r="I2" s="4"/>
    </row>
    <row r="3" customFormat="false" ht="57.75" hidden="false" customHeight="true" outlineLevel="0" collapsed="false">
      <c r="A3" s="5" t="s">
        <v>17</v>
      </c>
      <c r="B3" s="6" t="s">
        <v>18</v>
      </c>
      <c r="C3" s="7" t="s">
        <v>19</v>
      </c>
      <c r="D3" s="7" t="s">
        <v>20</v>
      </c>
      <c r="E3" s="7" t="s">
        <v>21</v>
      </c>
      <c r="F3" s="7" t="s">
        <v>14</v>
      </c>
      <c r="G3" s="7" t="s">
        <v>15</v>
      </c>
      <c r="H3" s="7" t="s">
        <v>16</v>
      </c>
      <c r="I3" s="7"/>
    </row>
    <row r="4" customFormat="false" ht="57.75" hidden="false" customHeight="true" outlineLevel="0" collapsed="false">
      <c r="A4" s="2" t="s">
        <v>22</v>
      </c>
      <c r="B4" s="3" t="s">
        <v>23</v>
      </c>
      <c r="C4" s="4" t="s">
        <v>24</v>
      </c>
      <c r="D4" s="4" t="s">
        <v>25</v>
      </c>
      <c r="E4" s="4" t="s">
        <v>26</v>
      </c>
      <c r="F4" s="4" t="s">
        <v>14</v>
      </c>
      <c r="G4" s="4" t="s">
        <v>15</v>
      </c>
      <c r="H4" s="4" t="s">
        <v>16</v>
      </c>
      <c r="I4" s="4"/>
    </row>
    <row r="5" customFormat="false" ht="57.75" hidden="false" customHeight="true" outlineLevel="0" collapsed="false">
      <c r="A5" s="5" t="s">
        <v>27</v>
      </c>
      <c r="B5" s="6" t="s">
        <v>23</v>
      </c>
      <c r="C5" s="7" t="s">
        <v>28</v>
      </c>
      <c r="D5" s="7" t="s">
        <v>29</v>
      </c>
      <c r="E5" s="7" t="s">
        <v>30</v>
      </c>
      <c r="F5" s="7" t="s">
        <v>14</v>
      </c>
      <c r="G5" s="7" t="s">
        <v>15</v>
      </c>
      <c r="H5" s="7" t="s">
        <v>16</v>
      </c>
      <c r="I5" s="7"/>
    </row>
    <row r="6" customFormat="false" ht="57.75" hidden="false" customHeight="true" outlineLevel="0" collapsed="false">
      <c r="A6" s="2" t="s">
        <v>31</v>
      </c>
      <c r="B6" s="3" t="s">
        <v>23</v>
      </c>
      <c r="C6" s="4" t="s">
        <v>32</v>
      </c>
      <c r="D6" s="4" t="s">
        <v>33</v>
      </c>
      <c r="E6" s="4" t="s">
        <v>34</v>
      </c>
      <c r="F6" s="4" t="s">
        <v>14</v>
      </c>
      <c r="G6" s="4" t="s">
        <v>15</v>
      </c>
      <c r="H6" s="4" t="s">
        <v>16</v>
      </c>
      <c r="I6" s="4"/>
    </row>
    <row r="7" customFormat="false" ht="57.75" hidden="false" customHeight="true" outlineLevel="0" collapsed="false">
      <c r="A7" s="5" t="s">
        <v>35</v>
      </c>
      <c r="B7" s="6" t="s">
        <v>36</v>
      </c>
      <c r="C7" s="7" t="s">
        <v>37</v>
      </c>
      <c r="D7" s="7" t="s">
        <v>38</v>
      </c>
      <c r="E7" s="7" t="s">
        <v>39</v>
      </c>
      <c r="F7" s="7" t="s">
        <v>40</v>
      </c>
      <c r="G7" s="7" t="s">
        <v>15</v>
      </c>
      <c r="H7" s="7" t="s">
        <v>16</v>
      </c>
      <c r="I7" s="7" t="s">
        <v>41</v>
      </c>
    </row>
    <row r="8" customFormat="false" ht="57.75" hidden="false" customHeight="true" outlineLevel="0" collapsed="false">
      <c r="A8" s="2" t="s">
        <v>42</v>
      </c>
      <c r="B8" s="3" t="s">
        <v>36</v>
      </c>
      <c r="C8" s="4" t="s">
        <v>43</v>
      </c>
      <c r="D8" s="4" t="s">
        <v>44</v>
      </c>
      <c r="E8" s="4" t="s">
        <v>45</v>
      </c>
      <c r="F8" s="4" t="s">
        <v>14</v>
      </c>
      <c r="G8" s="4" t="s">
        <v>15</v>
      </c>
      <c r="H8" s="4" t="s">
        <v>16</v>
      </c>
      <c r="I8" s="4"/>
    </row>
    <row r="9" customFormat="false" ht="57.75" hidden="false" customHeight="true" outlineLevel="0" collapsed="false">
      <c r="A9" s="5" t="s">
        <v>46</v>
      </c>
      <c r="B9" s="6" t="s">
        <v>47</v>
      </c>
      <c r="C9" s="7" t="s">
        <v>48</v>
      </c>
      <c r="D9" s="7" t="s">
        <v>49</v>
      </c>
      <c r="E9" s="7" t="s">
        <v>50</v>
      </c>
      <c r="F9" s="7" t="s">
        <v>14</v>
      </c>
      <c r="G9" s="7" t="s">
        <v>15</v>
      </c>
      <c r="H9" s="7" t="s">
        <v>16</v>
      </c>
      <c r="I9" s="7"/>
    </row>
    <row r="10" customFormat="false" ht="57.75" hidden="false" customHeight="true" outlineLevel="0" collapsed="false">
      <c r="A10" s="2" t="s">
        <v>51</v>
      </c>
      <c r="B10" s="3" t="s">
        <v>52</v>
      </c>
      <c r="C10" s="4" t="s">
        <v>53</v>
      </c>
      <c r="D10" s="4" t="s">
        <v>54</v>
      </c>
      <c r="E10" s="4" t="s">
        <v>55</v>
      </c>
      <c r="F10" s="4" t="s">
        <v>14</v>
      </c>
      <c r="G10" s="4" t="s">
        <v>15</v>
      </c>
      <c r="H10" s="4" t="s">
        <v>16</v>
      </c>
      <c r="I10" s="4"/>
    </row>
    <row r="11" customFormat="false" ht="57.75" hidden="false" customHeight="true" outlineLevel="0" collapsed="false">
      <c r="A11" s="5" t="s">
        <v>56</v>
      </c>
      <c r="B11" s="6" t="s">
        <v>47</v>
      </c>
      <c r="C11" s="7" t="s">
        <v>57</v>
      </c>
      <c r="D11" s="7" t="s">
        <v>58</v>
      </c>
      <c r="E11" s="7" t="s">
        <v>59</v>
      </c>
      <c r="F11" s="7" t="s">
        <v>40</v>
      </c>
      <c r="G11" s="7" t="s">
        <v>15</v>
      </c>
      <c r="H11" s="7" t="s">
        <v>16</v>
      </c>
      <c r="I11" s="7"/>
    </row>
    <row r="12" customFormat="false" ht="57.75" hidden="false" customHeight="true" outlineLevel="0" collapsed="false">
      <c r="A12" s="2" t="s">
        <v>60</v>
      </c>
      <c r="B12" s="3" t="s">
        <v>61</v>
      </c>
      <c r="C12" s="4" t="s">
        <v>62</v>
      </c>
      <c r="D12" s="4" t="s">
        <v>63</v>
      </c>
      <c r="E12" s="4" t="s">
        <v>64</v>
      </c>
      <c r="F12" s="4" t="s">
        <v>40</v>
      </c>
      <c r="G12" s="4" t="s">
        <v>15</v>
      </c>
      <c r="H12" s="4" t="s">
        <v>16</v>
      </c>
      <c r="I12" s="4"/>
    </row>
    <row r="13" customFormat="false" ht="57.75" hidden="false" customHeight="true" outlineLevel="0" collapsed="false">
      <c r="A13" s="8" t="s">
        <v>65</v>
      </c>
      <c r="B13" s="9" t="s">
        <v>66</v>
      </c>
      <c r="C13" s="10" t="s">
        <v>67</v>
      </c>
      <c r="D13" s="10" t="s">
        <v>68</v>
      </c>
      <c r="E13" s="10" t="s">
        <v>69</v>
      </c>
      <c r="F13" s="10" t="s">
        <v>14</v>
      </c>
      <c r="G13" s="10" t="s">
        <v>15</v>
      </c>
      <c r="H13" s="10" t="s">
        <v>16</v>
      </c>
      <c r="I13" s="10" t="s">
        <v>70</v>
      </c>
    </row>
    <row r="14" customFormat="false" ht="57.75" hidden="false" customHeight="true" outlineLevel="0" collapsed="false">
      <c r="A14" s="8" t="s">
        <v>71</v>
      </c>
      <c r="B14" s="9" t="s">
        <v>66</v>
      </c>
      <c r="C14" s="10" t="s">
        <v>72</v>
      </c>
      <c r="D14" s="10" t="s">
        <v>73</v>
      </c>
      <c r="E14" s="10" t="s">
        <v>74</v>
      </c>
      <c r="F14" s="10" t="s">
        <v>14</v>
      </c>
      <c r="G14" s="10" t="s">
        <v>15</v>
      </c>
      <c r="H14" s="10" t="s">
        <v>16</v>
      </c>
      <c r="I14" s="10" t="s">
        <v>75</v>
      </c>
    </row>
    <row r="15" customFormat="false" ht="57.75" hidden="false" customHeight="true" outlineLevel="0" collapsed="false">
      <c r="A15" s="8" t="s">
        <v>76</v>
      </c>
      <c r="B15" s="9" t="s">
        <v>66</v>
      </c>
      <c r="C15" s="10" t="s">
        <v>77</v>
      </c>
      <c r="D15" s="10" t="s">
        <v>78</v>
      </c>
      <c r="E15" s="10" t="s">
        <v>79</v>
      </c>
      <c r="F15" s="10" t="s">
        <v>14</v>
      </c>
      <c r="G15" s="10" t="s">
        <v>15</v>
      </c>
      <c r="H15" s="10" t="s">
        <v>16</v>
      </c>
      <c r="I15" s="10" t="s">
        <v>80</v>
      </c>
    </row>
    <row r="16" customFormat="false" ht="57.75" hidden="false" customHeight="true" outlineLevel="0" collapsed="false">
      <c r="A16" s="2" t="s">
        <v>41</v>
      </c>
      <c r="B16" s="3" t="s">
        <v>36</v>
      </c>
      <c r="C16" s="4" t="s">
        <v>81</v>
      </c>
      <c r="D16" s="4" t="s">
        <v>82</v>
      </c>
      <c r="E16" s="4" t="s">
        <v>83</v>
      </c>
      <c r="F16" s="4" t="s">
        <v>14</v>
      </c>
      <c r="G16" s="4" t="s">
        <v>15</v>
      </c>
      <c r="H16" s="4" t="s">
        <v>16</v>
      </c>
      <c r="I16" s="4" t="s">
        <v>35</v>
      </c>
    </row>
    <row r="17" customFormat="false" ht="57.75" hidden="false" customHeight="true" outlineLevel="0" collapsed="false">
      <c r="A17" s="5" t="s">
        <v>84</v>
      </c>
      <c r="B17" s="6" t="s">
        <v>85</v>
      </c>
      <c r="C17" s="7" t="s">
        <v>86</v>
      </c>
      <c r="D17" s="7" t="s">
        <v>87</v>
      </c>
      <c r="E17" s="7" t="s">
        <v>88</v>
      </c>
      <c r="F17" s="7" t="s">
        <v>40</v>
      </c>
      <c r="G17" s="7" t="s">
        <v>15</v>
      </c>
      <c r="H17" s="7" t="s">
        <v>16</v>
      </c>
      <c r="I17" s="7"/>
    </row>
    <row r="19" customFormat="false" ht="15" hidden="false" customHeight="false" outlineLevel="0" collapsed="false">
      <c r="A19" s="11" t="s">
        <v>89</v>
      </c>
      <c r="C19" s="12" t="n">
        <f aca="false">COUNTA(A2:A17)</f>
        <v>16</v>
      </c>
    </row>
    <row r="20" customFormat="false" ht="15" hidden="false" customHeight="false" outlineLevel="0" collapsed="false">
      <c r="A20" s="11" t="s">
        <v>90</v>
      </c>
      <c r="C20" s="12" t="n">
        <f aca="false">COUNTIF(F2:F17,"High")</f>
        <v>12</v>
      </c>
    </row>
    <row r="21" customFormat="false" ht="15" hidden="false" customHeight="false" outlineLevel="0" collapsed="false">
      <c r="A21" s="11" t="s">
        <v>91</v>
      </c>
      <c r="C21" s="12" t="n">
        <f aca="false">COUNTIF(G2:G17,"Open")</f>
        <v>16</v>
      </c>
    </row>
    <row r="22" customFormat="false" ht="15" hidden="false" customHeight="false" outlineLevel="0" collapsed="false">
      <c r="A22" s="11" t="s">
        <v>92</v>
      </c>
      <c r="C22" s="12" t="n">
        <f aca="false">COUNTIF(H2:H17,"To assign")</f>
        <v>16</v>
      </c>
    </row>
    <row r="24" customFormat="false" ht="15" hidden="false" customHeight="false" outlineLevel="0" collapsed="false">
      <c r="A24" s="13" t="s">
        <v>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6"/>
    <col collapsed="false" customWidth="true" hidden="false" outlineLevel="0" max="3" min="3" style="0" width="60"/>
    <col collapsed="false" customWidth="true" hidden="false" outlineLevel="0" max="4" min="4" style="0" width="18"/>
    <col collapsed="false" customWidth="true" hidden="false" outlineLevel="0" max="5" min="5" style="0" width="16"/>
  </cols>
  <sheetData>
    <row r="1" customFormat="false" ht="30" hidden="false" customHeight="true" outlineLevel="0" collapsed="false">
      <c r="A1" s="1" t="s">
        <v>0</v>
      </c>
      <c r="B1" s="1" t="s">
        <v>94</v>
      </c>
      <c r="C1" s="1" t="s">
        <v>95</v>
      </c>
      <c r="D1" s="1" t="s">
        <v>96</v>
      </c>
      <c r="E1" s="1" t="s">
        <v>6</v>
      </c>
    </row>
    <row r="2" customFormat="false" ht="57.75" hidden="false" customHeight="true" outlineLevel="0" collapsed="false">
      <c r="A2" s="2" t="s">
        <v>97</v>
      </c>
      <c r="B2" s="4" t="s">
        <v>98</v>
      </c>
      <c r="C2" s="4" t="s">
        <v>99</v>
      </c>
      <c r="D2" s="4" t="s">
        <v>60</v>
      </c>
      <c r="E2" s="4" t="s">
        <v>100</v>
      </c>
    </row>
    <row r="3" customFormat="false" ht="57.75" hidden="false" customHeight="true" outlineLevel="0" collapsed="false">
      <c r="A3" s="5" t="s">
        <v>101</v>
      </c>
      <c r="B3" s="7" t="s">
        <v>102</v>
      </c>
      <c r="C3" s="7" t="s">
        <v>103</v>
      </c>
      <c r="D3" s="7" t="s">
        <v>51</v>
      </c>
      <c r="E3" s="7" t="s">
        <v>100</v>
      </c>
    </row>
    <row r="4" customFormat="false" ht="57.75" hidden="false" customHeight="true" outlineLevel="0" collapsed="false">
      <c r="A4" s="2" t="s">
        <v>104</v>
      </c>
      <c r="B4" s="4" t="s">
        <v>105</v>
      </c>
      <c r="C4" s="4" t="s">
        <v>106</v>
      </c>
      <c r="D4" s="4" t="s">
        <v>84</v>
      </c>
      <c r="E4" s="4" t="s">
        <v>100</v>
      </c>
    </row>
    <row r="5" customFormat="false" ht="57.75" hidden="false" customHeight="true" outlineLevel="0" collapsed="false">
      <c r="A5" s="5" t="s">
        <v>107</v>
      </c>
      <c r="B5" s="7" t="s">
        <v>108</v>
      </c>
      <c r="C5" s="7" t="s">
        <v>109</v>
      </c>
      <c r="D5" s="7" t="s">
        <v>51</v>
      </c>
      <c r="E5" s="7" t="s">
        <v>100</v>
      </c>
    </row>
    <row r="6" customFormat="false" ht="57.75" hidden="false" customHeight="true" outlineLevel="0" collapsed="false">
      <c r="A6" s="2" t="s">
        <v>110</v>
      </c>
      <c r="B6" s="4" t="s">
        <v>111</v>
      </c>
      <c r="C6" s="4" t="s">
        <v>112</v>
      </c>
      <c r="D6" s="4"/>
      <c r="E6" s="4" t="s">
        <v>100</v>
      </c>
    </row>
    <row r="7" customFormat="false" ht="57.75" hidden="false" customHeight="true" outlineLevel="0" collapsed="false">
      <c r="A7" s="5" t="s">
        <v>113</v>
      </c>
      <c r="B7" s="7" t="s">
        <v>114</v>
      </c>
      <c r="C7" s="7" t="s">
        <v>115</v>
      </c>
      <c r="D7" s="7" t="s">
        <v>71</v>
      </c>
      <c r="E7" s="7" t="s">
        <v>100</v>
      </c>
    </row>
    <row r="8" customFormat="false" ht="57.75" hidden="false" customHeight="true" outlineLevel="0" collapsed="false">
      <c r="A8" s="2" t="s">
        <v>116</v>
      </c>
      <c r="B8" s="4" t="s">
        <v>117</v>
      </c>
      <c r="C8" s="4" t="s">
        <v>118</v>
      </c>
      <c r="D8" s="4" t="s">
        <v>22</v>
      </c>
      <c r="E8" s="4" t="s">
        <v>100</v>
      </c>
    </row>
    <row r="9" customFormat="false" ht="57.75" hidden="false" customHeight="true" outlineLevel="0" collapsed="false">
      <c r="A9" s="5" t="s">
        <v>119</v>
      </c>
      <c r="B9" s="7" t="s">
        <v>120</v>
      </c>
      <c r="C9" s="7" t="s">
        <v>121</v>
      </c>
      <c r="D9" s="7" t="s">
        <v>17</v>
      </c>
      <c r="E9" s="7" t="s">
        <v>100</v>
      </c>
    </row>
    <row r="11" customFormat="false" ht="15" hidden="false" customHeight="false" outlineLevel="0" collapsed="false">
      <c r="A11" s="11" t="s">
        <v>122</v>
      </c>
      <c r="C11" s="12" t="n">
        <f aca="false">COUNTIF(E2:E9,"Unconfirmed")</f>
        <v>8</v>
      </c>
    </row>
    <row r="13" customFormat="false" ht="15" hidden="false" customHeight="false" outlineLevel="0" collapsed="false">
      <c r="A13" s="13" t="s">
        <v>123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0"/>
    <col collapsed="false" customWidth="true" hidden="false" outlineLevel="0" max="3" min="3" style="0" width="22"/>
  </cols>
  <sheetData>
    <row r="1" customFormat="false" ht="30" hidden="false" customHeight="true" outlineLevel="0" collapsed="false">
      <c r="A1" s="1" t="s">
        <v>0</v>
      </c>
      <c r="B1" s="1" t="s">
        <v>124</v>
      </c>
      <c r="C1" s="1" t="s">
        <v>125</v>
      </c>
    </row>
    <row r="2" customFormat="false" ht="57.75" hidden="false" customHeight="true" outlineLevel="0" collapsed="false">
      <c r="A2" s="2" t="s">
        <v>126</v>
      </c>
      <c r="B2" s="4" t="s">
        <v>127</v>
      </c>
      <c r="C2" s="4" t="s">
        <v>128</v>
      </c>
    </row>
    <row r="3" customFormat="false" ht="57.75" hidden="false" customHeight="true" outlineLevel="0" collapsed="false">
      <c r="A3" s="5" t="s">
        <v>129</v>
      </c>
      <c r="B3" s="7" t="s">
        <v>130</v>
      </c>
      <c r="C3" s="7" t="s">
        <v>128</v>
      </c>
    </row>
    <row r="4" customFormat="false" ht="57.75" hidden="false" customHeight="true" outlineLevel="0" collapsed="false">
      <c r="A4" s="2" t="s">
        <v>131</v>
      </c>
      <c r="B4" s="4" t="s">
        <v>132</v>
      </c>
      <c r="C4" s="4" t="s">
        <v>128</v>
      </c>
    </row>
    <row r="5" customFormat="false" ht="57.75" hidden="false" customHeight="true" outlineLevel="0" collapsed="false">
      <c r="A5" s="5" t="s">
        <v>133</v>
      </c>
      <c r="B5" s="7" t="s">
        <v>134</v>
      </c>
      <c r="C5" s="7" t="s">
        <v>128</v>
      </c>
    </row>
    <row r="7" customFormat="false" ht="15" hidden="false" customHeight="false" outlineLevel="0" collapsed="false">
      <c r="A7" s="13" t="s">
        <v>135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2026-08-12T10:35:53Z</dcterms:created>
  <dc:creator>openpyxl</dc:creator>
  <dc:description/>
  <dc:language>en-US</dc:language>
  <cp:lastModifiedBy/>
  <dcterms:modified xsi:type="dcterms:W3CDTF">2026-08-12T10:35:53Z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