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pability Register" sheetId="2" state="visible" r:id="rId4"/>
    <sheet name="Gap Register" sheetId="3" state="visible" r:id="rId5"/>
  </sheets>
  <definedNames>
    <definedName function="false" hidden="true" localSheetId="1" name="_xlnm._FilterDatabase" vbProcedure="false">'Capability Register'!$A$1:$F$24</definedName>
    <definedName function="false" hidden="true" localSheetId="2" name="_xlnm._FilterDatabase" vbProcedure="false">'Gap Register'!$A$1:$G$16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<sst xmlns="http://schemas.openxmlformats.org/spreadsheetml/2006/main" count="275" uniqueCount="203">
  <si>
    <t xml:space="preserve">MFT on Boomi (Thru) — Capability &amp; Gap Register</t>
  </si>
  <si>
    <t xml:space="preserve">OFFICIAL — companion to the Solution Design Document v0.1 (20 Jul 2026)</t>
  </si>
  <si>
    <t xml:space="preserve">Capabilities by maturity</t>
  </si>
  <si>
    <t xml:space="preserve">Count</t>
  </si>
  <si>
    <t xml:space="preserve">GA / relied-upon</t>
  </si>
  <si>
    <t xml:space="preserve">Available - confirm fit</t>
  </si>
  <si>
    <t xml:space="preserve">Roadmap / validate</t>
  </si>
  <si>
    <t xml:space="preserve">Total capabilities</t>
  </si>
  <si>
    <t xml:space="preserve">Gaps by severity</t>
  </si>
  <si>
    <t xml:space="preserve">High</t>
  </si>
  <si>
    <t xml:space="preserve">Medium</t>
  </si>
  <si>
    <t xml:space="preserve">Low</t>
  </si>
  <si>
    <t xml:space="preserve">Total gaps</t>
  </si>
  <si>
    <t xml:space="preserve">How to use this register</t>
  </si>
  <si>
    <t xml:space="preserve">• Capability Register — what Boomi native MFT provides and how each item is used in the estate. Maturity: GA = relied upon; Confirm = available, validate fit; Roadmap = validate at build.</t>
  </si>
  <si>
    <t xml:space="preserve">• Gap Register — limitations with impact, severity, and the mitigation/action each drives. Assign a named Owner and move Status from Open before build.</t>
  </si>
  <si>
    <t xml:space="preserve">• High-severity gaps (data residency/assurance, audit retention, and MFT credential/PAM sourcing) most affect go-live for OFFICIAL data. The missing native CI/CD pipeline (G-13) is the main delivery/operability drawback.</t>
  </si>
  <si>
    <t xml:space="preserve">• This register is the single source for the SDD Section 9 matrix and Section 11 gaps — keep them in step.</t>
  </si>
  <si>
    <t xml:space="preserve">Ref</t>
  </si>
  <si>
    <t xml:space="preserve">Capability</t>
  </si>
  <si>
    <t xml:space="preserve">Description</t>
  </si>
  <si>
    <t xml:space="preserve">How used in the HMRC estate</t>
  </si>
  <si>
    <t xml:space="preserve">Maturity</t>
  </si>
  <si>
    <t xml:space="preserve">Source</t>
  </si>
  <si>
    <t xml:space="preserve">C-01</t>
  </si>
  <si>
    <t xml:space="preserve">SFTP / FTPS / AS2 endpoints</t>
  </si>
  <si>
    <t xml:space="preserve">Secure protocol endpoints under Organizations &gt; Endpoints &gt; Flows; MFT SFTP on port 22</t>
  </si>
  <si>
    <t xml:space="preserve">Inbound/outbound with OGDs, agents, banks</t>
  </si>
  <si>
    <t xml:space="preserve">GA</t>
  </si>
  <si>
    <t xml:space="preserve">Boomi MFT docs</t>
  </si>
  <si>
    <t xml:space="preserve">C-02</t>
  </si>
  <si>
    <t xml:space="preserve">Trading-partner onboarding</t>
  </si>
  <si>
    <t xml:space="preserve">Partner/community model; unified trading-partner framework extending to MFT</t>
  </si>
  <si>
    <t xml:space="preserve">Config-driven partner &amp; endpoint records</t>
  </si>
  <si>
    <t xml:space="preserve">Confirm</t>
  </si>
  <si>
    <t xml:space="preserve">Boomi roadmap Q2-2026</t>
  </si>
  <si>
    <t xml:space="preserve">C-03</t>
  </si>
  <si>
    <t xml:space="preserve">Event-driven trigger</t>
  </si>
  <si>
    <t xml:space="preserve">File arrival triggers a Boomi Integration process via MFT Connector</t>
  </si>
  <si>
    <t xml:space="preserve">Kicks off the generic engine / processing</t>
  </si>
  <si>
    <t xml:space="preserve">Thru / Boomi</t>
  </si>
  <si>
    <t xml:space="preserve">C-04</t>
  </si>
  <si>
    <t xml:space="preserve">Persistence &amp; guaranteed delivery</t>
  </si>
  <si>
    <t xml:space="preserve">File persistence with automatic retry and fault tolerance</t>
  </si>
  <si>
    <t xml:space="preserve">Resilient delivery to systems of record</t>
  </si>
  <si>
    <t xml:space="preserve">Boomi 'What is MFT'</t>
  </si>
  <si>
    <t xml:space="preserve">C-05</t>
  </si>
  <si>
    <t xml:space="preserve">PGP encryption (incl. ASCII-armor)</t>
  </si>
  <si>
    <t xml:space="preserve">Encrypt/decrypt payloads; .asc armor format</t>
  </si>
  <si>
    <t xml:space="preserve">At-rest protection of OFFICIAL payloads</t>
  </si>
  <si>
    <t xml:space="preserve">Mar-2026 release</t>
  </si>
  <si>
    <t xml:space="preserve">C-06</t>
  </si>
  <si>
    <t xml:space="preserve">TAR archive / extract</t>
  </si>
  <si>
    <t xml:space="preserve">Archive/extract TAR (optional compression) in Flow Endpoints</t>
  </si>
  <si>
    <t xml:space="preserve">Bundle/unbundle batch file sets</t>
  </si>
  <si>
    <t xml:space="preserve">C-07</t>
  </si>
  <si>
    <t xml:space="preserve">Tracking &amp; audit log</t>
  </si>
  <si>
    <t xml:space="preserve">End-to-end visibility with delivery confirmation; single source of truth</t>
  </si>
  <si>
    <t xml:space="preserve">Central audit of all transfers</t>
  </si>
  <si>
    <t xml:space="preserve">Boomi MFT product</t>
  </si>
  <si>
    <t xml:space="preserve">C-08</t>
  </si>
  <si>
    <t xml:space="preserve">Scheduling &amp; polling</t>
  </si>
  <si>
    <t xml:space="preserve">Time-based automated file transfer with schedule history</t>
  </si>
  <si>
    <t xml:space="preserve">Batch windows and source polling</t>
  </si>
  <si>
    <t xml:space="preserve">C-09</t>
  </si>
  <si>
    <t xml:space="preserve">OpenTelemetry observability</t>
  </si>
  <si>
    <t xml:space="preserve">Export metrics, logs, traces to external monitoring via Runtime Mgmt UI</t>
  </si>
  <si>
    <t xml:space="preserve">Feed enterprise SIEM (Splunk)</t>
  </si>
  <si>
    <t xml:space="preserve">C-10</t>
  </si>
  <si>
    <t xml:space="preserve">Runtime health/heartbeat telemetry</t>
  </si>
  <si>
    <t xml:space="preserve">Improved heartbeat telemetry for runtime status/diagnostics</t>
  </si>
  <si>
    <t xml:space="preserve">Proactive ops monitoring/alerting</t>
  </si>
  <si>
    <t xml:space="preserve">C-11</t>
  </si>
  <si>
    <t xml:space="preserve">Hybrid runtime (on-prem + cloud)</t>
  </si>
  <si>
    <t xml:space="preserve">MFT cloud components + on-prem MFT runtimes + MFT Connector in processes</t>
  </si>
  <si>
    <t xml:space="preserve">Keep OFFICIAL payload in boundary</t>
  </si>
  <si>
    <t xml:space="preserve">C-12</t>
  </si>
  <si>
    <t xml:space="preserve">DSA legacy SFTP host keys</t>
  </si>
  <si>
    <t xml:space="preserve">Continued support for deprecated DSA host keys</t>
  </si>
  <si>
    <t xml:space="preserve">Serve legacy external SFTP partners</t>
  </si>
  <si>
    <t xml:space="preserve">GA (legacy)</t>
  </si>
  <si>
    <t xml:space="preserve">C-13</t>
  </si>
  <si>
    <t xml:space="preserve">Automated data retention</t>
  </si>
  <si>
    <t xml:space="preserve">Auto cleanup: schedule history 3mo, audit logs 12mo</t>
  </si>
  <si>
    <t xml:space="preserve">Housekeeping (see gap G-02b)</t>
  </si>
  <si>
    <t xml:space="preserve">C-14</t>
  </si>
  <si>
    <t xml:space="preserve">PEPPOL via Boomi EDI VAN</t>
  </si>
  <si>
    <t xml:space="preserve">Native PEPPOL support path for e-procurement compliance</t>
  </si>
  <si>
    <t xml:space="preserve">Only if PEPPOL flows required</t>
  </si>
  <si>
    <t xml:space="preserve">Roadmap</t>
  </si>
  <si>
    <t xml:space="preserve">C-15</t>
  </si>
  <si>
    <t xml:space="preserve">Extensive APIs</t>
  </si>
  <si>
    <t xml:space="preserve">Full functionality via APIs across all tiers</t>
  </si>
  <si>
    <t xml:space="preserve">Automation of onboarding/ops</t>
  </si>
  <si>
    <t xml:space="preserve">Thru datasheet</t>
  </si>
  <si>
    <t xml:space="preserve">C-16</t>
  </si>
  <si>
    <t xml:space="preserve">Secrets Management Service</t>
  </si>
  <si>
    <t xml:space="preserve">Binds Integration runtime to cloud vaults (e.g. Azure Key Vault) for connector credentials; Nov-2025 release</t>
  </si>
  <si>
    <t xml:space="preserve">Runtime credentials — NOT confirmed for MFT endpoint/partner creds (see G-14)</t>
  </si>
  <si>
    <t xml:space="preserve">Boomi community Nov-2025</t>
  </si>
  <si>
    <t xml:space="preserve">C-17</t>
  </si>
  <si>
    <t xml:space="preserve">CI/CD via AtomSphere API + DevOps</t>
  </si>
  <si>
    <t xml:space="preserve">Reference framework to promote Boomi assets through external DevOps tooling; not MFT-config-aware</t>
  </si>
  <si>
    <t xml:space="preserve">Config promotion must be built externally (see G-13)</t>
  </si>
  <si>
    <t xml:space="preserve">Boomi DevOps guide</t>
  </si>
  <si>
    <t xml:space="preserve">C-18</t>
  </si>
  <si>
    <t xml:space="preserve">Integration Platform interoperability</t>
  </si>
  <si>
    <t xml:space="preserve">Boomi MFT Connector lets an integration process invoke MFT file-transfer flows (event-driven orchestration; control vs data channels)</t>
  </si>
  <si>
    <t xml:space="preserve">MFT triggered/orchestrated by integration flows; one platform &amp; audit trail</t>
  </si>
  <si>
    <t xml:space="preserve">Boomi MFT connector docs</t>
  </si>
  <si>
    <t xml:space="preserve">C-19</t>
  </si>
  <si>
    <t xml:space="preserve">API Management fronting MFT/integration APIs</t>
  </si>
  <si>
    <t xml:space="preserve">CAM + external/internal API gateways (and Kong) publish and secure MFT/integration APIs to consumers and HoD apps</t>
  </si>
  <si>
    <t xml:space="preserve">Governed API access instead of point-to-point</t>
  </si>
  <si>
    <t xml:space="preserve">Boomi CAM docs</t>
  </si>
  <si>
    <t xml:space="preserve">C-20</t>
  </si>
  <si>
    <t xml:space="preserve">Antivirus / malware scanning</t>
  </si>
  <si>
    <t xml:space="preserve">Real-time AV scan of files in flight; infected files auto-quarantined; built into every layer (zero-trust, SOC 2)</t>
  </si>
  <si>
    <t xml:space="preserve">Malware blocked before delivery; defence in depth</t>
  </si>
  <si>
    <t xml:space="preserve">Boomi MFT security</t>
  </si>
  <si>
    <t xml:space="preserve">C-21</t>
  </si>
  <si>
    <t xml:space="preserve">Automated File Transfer (AFT)</t>
  </si>
  <si>
    <t xml:space="preserve">Scheduled/event-driven system-to-system transfers; many-to-many endpoints; retry, auto-resume, exception handling, notifications</t>
  </si>
  <si>
    <t xml:space="preserve">Unattended, guaranteed delivery; config-driven</t>
  </si>
  <si>
    <t xml:space="preserve">Boomi MFT / Thru</t>
  </si>
  <si>
    <t xml:space="preserve">C-22</t>
  </si>
  <si>
    <t xml:space="preserve">Ad-hoc file sharing (EFSS)</t>
  </si>
  <si>
    <t xml:space="preserve">Person-to-person secure large-file sharing; web UI, Outlook/Salesforce/SharePoint plugins, drop-box inbound; per-user/group permissions</t>
  </si>
  <si>
    <t xml:space="preserve">Governed user file sharing under same controls</t>
  </si>
  <si>
    <t xml:space="preserve">Confirm scope</t>
  </si>
  <si>
    <t xml:space="preserve">C-23</t>
  </si>
  <si>
    <t xml:space="preserve">File-level (end-to-end) encryption</t>
  </si>
  <si>
    <t xml:space="preserve">File encrypted at file level in addition to protocol-in-transit and at-rest storage encryption</t>
  </si>
  <si>
    <t xml:space="preserve">Stronger data protection for OFFICIAL</t>
  </si>
  <si>
    <t xml:space="preserve">Boomi MFT platform</t>
  </si>
  <si>
    <t xml:space="preserve">Gap / limitation</t>
  </si>
  <si>
    <t xml:space="preserve">Impact</t>
  </si>
  <si>
    <t xml:space="preserve">Severity</t>
  </si>
  <si>
    <t xml:space="preserve">Mitigation / action</t>
  </si>
  <si>
    <t xml:space="preserve">Owner</t>
  </si>
  <si>
    <t xml:space="preserve">Status</t>
  </si>
  <si>
    <t xml:space="preserve">G-01</t>
  </si>
  <si>
    <t xml:space="preserve">Native MFT post-acquisition (May-2025), still maturing; roadmap items in flight</t>
  </si>
  <si>
    <t xml:space="preserve">Feature-parity / roadmap risk</t>
  </si>
  <si>
    <t xml:space="preserve">Confirm live GA feature set at build; track roadmap; don't design on roadmap-only items</t>
  </si>
  <si>
    <t xml:space="preserve">TBC</t>
  </si>
  <si>
    <t xml:space="preserve">Open</t>
  </si>
  <si>
    <t xml:space="preserve">G-02a</t>
  </si>
  <si>
    <t xml:space="preserve">Control plane is SaaS; data residency/assurance for OFFICIAL to confirm</t>
  </si>
  <si>
    <t xml:space="preserve">Assurance / compliance risk</t>
  </si>
  <si>
    <t xml:space="preserve">Confirm UK region; keep payload on-prem via hybrid runtime; assurance review</t>
  </si>
  <si>
    <t xml:space="preserve">G-02b</t>
  </si>
  <si>
    <t xml:space="preserve">Automated audit retention default 12 months (schedule history 3 months)</t>
  </si>
  <si>
    <t xml:space="preserve">May breach statutory retention</t>
  </si>
  <si>
    <t xml:space="preserve">Export audit to long-term archive; set retention policy</t>
  </si>
  <si>
    <t xml:space="preserve">G-03</t>
  </si>
  <si>
    <t xml:space="preserve">Native protocols centre on SFTP/FTPS/AS2 (+PEPPOL via EDI VAN); OFTP2/AS4/PeSIT not native</t>
  </si>
  <si>
    <t xml:space="preserve">Gap if partners mandate these</t>
  </si>
  <si>
    <t xml:space="preserve">Survey partner protocols; bridge/third-party gateway where required</t>
  </si>
  <si>
    <t xml:space="preserve">G-04</t>
  </si>
  <si>
    <t xml:space="preserve">Content-based routing/transform beyond filename needs Integration processes</t>
  </si>
  <si>
    <t xml:space="preserve">'Construction' creep vs principle</t>
  </si>
  <si>
    <t xml:space="preserve">Keep logic in shared engine; DA deviation with named owner</t>
  </si>
  <si>
    <t xml:space="preserve">G-05</t>
  </si>
  <si>
    <t xml:space="preserve">Batch throughput vs WebMethods unproven for HMRC volumes</t>
  </si>
  <si>
    <t xml:space="preserve">Performance risk at cutover</t>
  </si>
  <si>
    <t xml:space="preserve">Benchmark peak batch before migrating high-volume flows</t>
  </si>
  <si>
    <t xml:space="preserve">G-06</t>
  </si>
  <si>
    <t xml:space="preserve">Working-day/holiday-calendar scheduling depth to confirm</t>
  </si>
  <si>
    <t xml:space="preserve">Complex windows may need external scheduler</t>
  </si>
  <si>
    <t xml:space="preserve">Validate scheduling; integrate enterprise scheduler if needed</t>
  </si>
  <si>
    <t xml:space="preserve">G-07</t>
  </si>
  <si>
    <t xml:space="preserve">Non-repudiation/signed-receipt depth vs dedicated MFT to confirm</t>
  </si>
  <si>
    <t xml:space="preserve">Compliance evidence risk</t>
  </si>
  <si>
    <t xml:space="preserve">Confirm receipt/NR capability against requirements</t>
  </si>
  <si>
    <t xml:space="preserve">G-08</t>
  </si>
  <si>
    <t xml:space="preserve">MFT gateway HA topology (vs Atom HA) to confirm</t>
  </si>
  <si>
    <t xml:space="preserve">Availability risk at edge</t>
  </si>
  <si>
    <t xml:space="preserve">Confirm supported gateway clustering with vendor</t>
  </si>
  <si>
    <t xml:space="preserve">G-09</t>
  </si>
  <si>
    <t xml:space="preserve">Enterprise HSM/KMS integration for keys to confirm</t>
  </si>
  <si>
    <t xml:space="preserve">Key-custody assurance</t>
  </si>
  <si>
    <t xml:space="preserve">Confirm HSM/KMS integration pattern</t>
  </si>
  <si>
    <t xml:space="preserve">G-10</t>
  </si>
  <si>
    <t xml:space="preserve">SIEM integration relies on OpenTelemetry export - confirm coverage</t>
  </si>
  <si>
    <t xml:space="preserve">Monitoring completeness</t>
  </si>
  <si>
    <t xml:space="preserve">Prove OTel -&gt; Splunk coverage of MFT events</t>
  </si>
  <si>
    <t xml:space="preserve">G-12</t>
  </si>
  <si>
    <t xml:space="preserve">No automated WebMethods -&gt; Boomi migration tooling</t>
  </si>
  <si>
    <t xml:space="preserve">Migration effort / time</t>
  </si>
  <si>
    <t xml:space="preserve">Deliberate re-configuration; sequence by risk</t>
  </si>
  <si>
    <t xml:space="preserve">G-13</t>
  </si>
  <si>
    <t xml:space="preserve">No native CI/CD pipeline for MFT config; promotion dev-&gt;test-&gt;prod is UI/admin-driven and environment-promotion not fully API-automatable</t>
  </si>
  <si>
    <t xml:space="preserve">Manual promotion; weak traceability, review, rollback</t>
  </si>
  <si>
    <t xml:space="preserve">Build external CI/CD over AtomSphere APIs + DevOps tooling; hold config/routing table in Git; gated audited promotion</t>
  </si>
  <si>
    <t xml:space="preserve">G-14</t>
  </si>
  <si>
    <t xml:space="preserve">No documented native path to source MFT endpoint/partner credentials from enterprise password/secrets manager (e.g. CyberArk PAM); Secrets Mgmt Service targets Integration runtime + cloud vaults, not MFT partner creds</t>
  </si>
  <si>
    <t xml:space="preserve">Credentials in MFT store; weaker central rotation &amp; PAM governance</t>
  </si>
  <si>
    <t xml:space="preserve">Validate MFT credential sourcing with vendor; broker via Integration + secrets service or controlled vault sync; agree with Security</t>
  </si>
  <si>
    <t xml:space="preserve">G-15</t>
  </si>
  <si>
    <t xml:space="preserve">AV scan applies to files up to ~250 MB on the multi-tenant automated service; larger files need a dedicated single-tenant configuration</t>
  </si>
  <si>
    <t xml:space="preserve">Large tax/customs payloads may bypass or exceed native AV scanning</t>
  </si>
  <si>
    <t xml:space="preserve">Confirm max in-scope file size; dedicated/single-tenant config, chunking, or external ICAP/AV for oversize files; agree with Security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</si>
</sst>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D9E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2161C"/>
      <name val="Arial"/>
      <family val="0"/>
      <charset val="1"/>
    </font>
    <font>
      <b val="true"/>
      <sz val="10"/>
      <color rgb="FF12161C"/>
      <name val="Arial"/>
      <family val="0"/>
      <charset val="1"/>
    </font>
    <font>
      <b val="true"/>
      <sz val="11"/>
      <color rgb="FF003D9E"/>
      <name val="Arial"/>
      <family val="0"/>
      <charset val="1"/>
    </font>
    <font>
      <sz val="10"/>
      <color rgb="FF3D465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8A5A0A"/>
      <name val="Arial"/>
      <family val="0"/>
      <charset val="1"/>
    </font>
    <font>
      <b val="true"/>
      <sz val="10"/>
      <color rgb="FFB326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FFF"/>
        <bgColor rgb="FF3366FF"/>
      </patternFill>
    </fill>
    <fill>
      <patternFill patternType="solid">
        <fgColor rgb="FF003D9E"/>
        <bgColor rgb="FF333399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3D9E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16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A5A0A"/>
          <bgColor rgb="FF000000"/>
        </patternFill>
      </fill>
    </dxf>
    <dxf>
      <fill>
        <patternFill patternType="solid">
          <fgColor rgb="FFB326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A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8080"/>
      <rgbColor rgb="FF0B5FFF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D9E"/>
      <rgbColor rgb="FF2E7D32"/>
      <rgbColor rgb="FF12161C"/>
      <rgbColor rgb="FF333300"/>
      <rgbColor rgb="FFB3261E"/>
      <rgbColor rgb="FF993366"/>
      <rgbColor rgb="FF333399"/>
      <rgbColor rgb="FF3D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COUNTIF('Capability Register'!E:E,"GA")+COUNTIF('Capability Register'!E:E,"GA (legacy)")</f>
        <v>15</v>
      </c>
    </row>
    <row r="6" customFormat="false" ht="15" hidden="false" customHeight="false" outlineLevel="0" collapsed="false">
      <c r="A6" s="4" t="s">
        <v>5</v>
      </c>
      <c r="B6" s="5" t="n">
        <f aca="false">COUNTIF('Capability Register'!E:E,"Confirm")</f>
        <v>6</v>
      </c>
    </row>
    <row r="7" customFormat="false" ht="15" hidden="false" customHeight="false" outlineLevel="0" collapsed="false">
      <c r="A7" s="4" t="s">
        <v>6</v>
      </c>
      <c r="B7" s="5" t="n">
        <f aca="false">COUNTIF('Capability Register'!E:E,"Roadmap")</f>
        <v>1</v>
      </c>
    </row>
    <row r="8" customFormat="false" ht="15" hidden="false" customHeight="false" outlineLevel="0" collapsed="false">
      <c r="A8" s="4" t="s">
        <v>7</v>
      </c>
      <c r="B8" s="5" t="n">
        <f aca="false">COUNTA('Capability Register'!A2:A100)</f>
        <v>23</v>
      </c>
    </row>
    <row r="11" customFormat="false" ht="15" hidden="false" customHeight="false" outlineLevel="0" collapsed="false">
      <c r="A11" s="3" t="s">
        <v>8</v>
      </c>
      <c r="B11" s="3" t="s">
        <v>3</v>
      </c>
    </row>
    <row r="12" customFormat="false" ht="15" hidden="false" customHeight="false" outlineLevel="0" collapsed="false">
      <c r="A12" s="4" t="s">
        <v>9</v>
      </c>
      <c r="B12" s="5" t="n">
        <f aca="false">COUNTIF('Gap Register'!D:D,"High")</f>
        <v>3</v>
      </c>
    </row>
    <row r="13" customFormat="false" ht="15" hidden="false" customHeight="false" outlineLevel="0" collapsed="false">
      <c r="A13" s="4" t="s">
        <v>10</v>
      </c>
      <c r="B13" s="5" t="n">
        <f aca="false">COUNTIF('Gap Register'!D:D,"Medium")</f>
        <v>10</v>
      </c>
    </row>
    <row r="14" customFormat="false" ht="15" hidden="false" customHeight="false" outlineLevel="0" collapsed="false">
      <c r="A14" s="4" t="s">
        <v>11</v>
      </c>
      <c r="B14" s="5" t="n">
        <f aca="false">COUNTIF('Gap Register'!D:D,"Low")</f>
        <v>2</v>
      </c>
    </row>
    <row r="15" customFormat="false" ht="15" hidden="false" customHeight="false" outlineLevel="0" collapsed="false">
      <c r="A15" s="4" t="s">
        <v>12</v>
      </c>
      <c r="B15" s="5" t="n">
        <f aca="false">COUNTA('Gap Register'!A2:A100)</f>
        <v>15</v>
      </c>
    </row>
    <row r="18" customFormat="false" ht="15" hidden="false" customHeight="false" outlineLevel="0" collapsed="false">
      <c r="A18" s="6" t="s">
        <v>13</v>
      </c>
    </row>
    <row r="19" customFormat="false" ht="30" hidden="false" customHeight="true" outlineLevel="0" collapsed="false">
      <c r="A19" s="7" t="s">
        <v>14</v>
      </c>
      <c r="B19" s="7"/>
      <c r="C19" s="7"/>
      <c r="D19" s="7"/>
      <c r="E19" s="7"/>
      <c r="F19" s="7"/>
    </row>
    <row r="20" customFormat="false" ht="30" hidden="false" customHeight="true" outlineLevel="0" collapsed="false">
      <c r="A20" s="7" t="s">
        <v>15</v>
      </c>
      <c r="B20" s="7"/>
      <c r="C20" s="7"/>
      <c r="D20" s="7"/>
      <c r="E20" s="7"/>
      <c r="F20" s="7"/>
    </row>
    <row r="21" customFormat="false" ht="30" hidden="false" customHeight="true" outlineLevel="0" collapsed="false">
      <c r="A21" s="7" t="s">
        <v>16</v>
      </c>
      <c r="B21" s="7"/>
      <c r="C21" s="7"/>
      <c r="D21" s="7"/>
      <c r="E21" s="7"/>
      <c r="F21" s="7"/>
    </row>
    <row r="22" customFormat="false" ht="30" hidden="false" customHeight="true" outlineLevel="0" collapsed="false">
      <c r="A22" s="7" t="s">
        <v>17</v>
      </c>
      <c r="B22" s="7"/>
      <c r="C22" s="7"/>
      <c r="D22" s="7"/>
      <c r="E22" s="7"/>
      <c r="F22" s="7"/>
    </row>
  </sheetData>
  <mergeCells count="4"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</row>
    <row r="2" customFormat="false" ht="23.85" hidden="false" customHeight="false" outlineLevel="0" collapsed="false">
      <c r="A2" s="9" t="s">
        <v>24</v>
      </c>
      <c r="B2" s="9" t="s">
        <v>25</v>
      </c>
      <c r="C2" s="9" t="s">
        <v>26</v>
      </c>
      <c r="D2" s="9" t="s">
        <v>27</v>
      </c>
      <c r="E2" s="10" t="s">
        <v>28</v>
      </c>
      <c r="F2" s="9" t="s">
        <v>29</v>
      </c>
    </row>
    <row r="3" customFormat="false" ht="23.8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33</v>
      </c>
      <c r="E3" s="12" t="s">
        <v>34</v>
      </c>
      <c r="F3" s="11" t="s">
        <v>35</v>
      </c>
    </row>
    <row r="4" customFormat="false" ht="23.85" hidden="false" customHeight="false" outlineLevel="0" collapsed="false">
      <c r="A4" s="9" t="s">
        <v>36</v>
      </c>
      <c r="B4" s="9" t="s">
        <v>37</v>
      </c>
      <c r="C4" s="9" t="s">
        <v>38</v>
      </c>
      <c r="D4" s="9" t="s">
        <v>39</v>
      </c>
      <c r="E4" s="10" t="s">
        <v>28</v>
      </c>
      <c r="F4" s="9" t="s">
        <v>40</v>
      </c>
    </row>
    <row r="5" customFormat="false" ht="23.85" hidden="false" customHeight="false" outlineLevel="0" collapsed="false">
      <c r="A5" s="11" t="s">
        <v>41</v>
      </c>
      <c r="B5" s="11" t="s">
        <v>42</v>
      </c>
      <c r="C5" s="11" t="s">
        <v>43</v>
      </c>
      <c r="D5" s="11" t="s">
        <v>44</v>
      </c>
      <c r="E5" s="13" t="s">
        <v>28</v>
      </c>
      <c r="F5" s="11" t="s">
        <v>45</v>
      </c>
    </row>
    <row r="6" customFormat="false" ht="23.85" hidden="false" customHeight="false" outlineLevel="0" collapsed="false">
      <c r="A6" s="9" t="s">
        <v>46</v>
      </c>
      <c r="B6" s="9" t="s">
        <v>47</v>
      </c>
      <c r="C6" s="9" t="s">
        <v>48</v>
      </c>
      <c r="D6" s="9" t="s">
        <v>49</v>
      </c>
      <c r="E6" s="10" t="s">
        <v>28</v>
      </c>
      <c r="F6" s="9" t="s">
        <v>50</v>
      </c>
    </row>
    <row r="7" customFormat="false" ht="23.85" hidden="false" customHeight="false" outlineLevel="0" collapsed="false">
      <c r="A7" s="11" t="s">
        <v>51</v>
      </c>
      <c r="B7" s="11" t="s">
        <v>52</v>
      </c>
      <c r="C7" s="11" t="s">
        <v>53</v>
      </c>
      <c r="D7" s="11" t="s">
        <v>54</v>
      </c>
      <c r="E7" s="13" t="s">
        <v>28</v>
      </c>
      <c r="F7" s="11" t="s">
        <v>50</v>
      </c>
    </row>
    <row r="8" customFormat="false" ht="23.85" hidden="false" customHeight="false" outlineLevel="0" collapsed="false">
      <c r="A8" s="9" t="s">
        <v>55</v>
      </c>
      <c r="B8" s="9" t="s">
        <v>56</v>
      </c>
      <c r="C8" s="9" t="s">
        <v>57</v>
      </c>
      <c r="D8" s="9" t="s">
        <v>58</v>
      </c>
      <c r="E8" s="10" t="s">
        <v>28</v>
      </c>
      <c r="F8" s="9" t="s">
        <v>59</v>
      </c>
    </row>
    <row r="9" customFormat="false" ht="23.85" hidden="false" customHeight="false" outlineLevel="0" collapsed="false">
      <c r="A9" s="11" t="s">
        <v>60</v>
      </c>
      <c r="B9" s="11" t="s">
        <v>61</v>
      </c>
      <c r="C9" s="11" t="s">
        <v>62</v>
      </c>
      <c r="D9" s="11" t="s">
        <v>63</v>
      </c>
      <c r="E9" s="13" t="s">
        <v>28</v>
      </c>
      <c r="F9" s="11" t="s">
        <v>59</v>
      </c>
    </row>
    <row r="10" customFormat="false" ht="23.85" hidden="false" customHeight="false" outlineLevel="0" collapsed="false">
      <c r="A10" s="9" t="s">
        <v>64</v>
      </c>
      <c r="B10" s="9" t="s">
        <v>65</v>
      </c>
      <c r="C10" s="9" t="s">
        <v>66</v>
      </c>
      <c r="D10" s="9" t="s">
        <v>67</v>
      </c>
      <c r="E10" s="14" t="s">
        <v>34</v>
      </c>
      <c r="F10" s="9" t="s">
        <v>35</v>
      </c>
    </row>
    <row r="11" customFormat="false" ht="23.85" hidden="false" customHeight="false" outlineLevel="0" collapsed="false">
      <c r="A11" s="11" t="s">
        <v>68</v>
      </c>
      <c r="B11" s="11" t="s">
        <v>69</v>
      </c>
      <c r="C11" s="11" t="s">
        <v>70</v>
      </c>
      <c r="D11" s="11" t="s">
        <v>71</v>
      </c>
      <c r="E11" s="13" t="s">
        <v>28</v>
      </c>
      <c r="F11" s="11" t="s">
        <v>50</v>
      </c>
    </row>
    <row r="12" customFormat="false" ht="23.85" hidden="false" customHeight="false" outlineLevel="0" collapsed="false">
      <c r="A12" s="9" t="s">
        <v>72</v>
      </c>
      <c r="B12" s="9" t="s">
        <v>73</v>
      </c>
      <c r="C12" s="9" t="s">
        <v>74</v>
      </c>
      <c r="D12" s="9" t="s">
        <v>75</v>
      </c>
      <c r="E12" s="14" t="s">
        <v>34</v>
      </c>
      <c r="F12" s="9" t="s">
        <v>35</v>
      </c>
    </row>
    <row r="13" customFormat="false" ht="15" hidden="false" customHeight="false" outlineLevel="0" collapsed="false">
      <c r="A13" s="11" t="s">
        <v>76</v>
      </c>
      <c r="B13" s="11" t="s">
        <v>77</v>
      </c>
      <c r="C13" s="11" t="s">
        <v>78</v>
      </c>
      <c r="D13" s="11" t="s">
        <v>79</v>
      </c>
      <c r="E13" s="13" t="s">
        <v>80</v>
      </c>
      <c r="F13" s="11" t="s">
        <v>50</v>
      </c>
    </row>
    <row r="14" customFormat="false" ht="23.85" hidden="false" customHeight="false" outlineLevel="0" collapsed="false">
      <c r="A14" s="9" t="s">
        <v>81</v>
      </c>
      <c r="B14" s="9" t="s">
        <v>82</v>
      </c>
      <c r="C14" s="9" t="s">
        <v>83</v>
      </c>
      <c r="D14" s="9" t="s">
        <v>84</v>
      </c>
      <c r="E14" s="10" t="s">
        <v>28</v>
      </c>
      <c r="F14" s="9" t="s">
        <v>50</v>
      </c>
    </row>
    <row r="15" customFormat="false" ht="23.85" hidden="false" customHeight="false" outlineLevel="0" collapsed="false">
      <c r="A15" s="11" t="s">
        <v>85</v>
      </c>
      <c r="B15" s="11" t="s">
        <v>86</v>
      </c>
      <c r="C15" s="11" t="s">
        <v>87</v>
      </c>
      <c r="D15" s="11" t="s">
        <v>88</v>
      </c>
      <c r="E15" s="15" t="s">
        <v>89</v>
      </c>
      <c r="F15" s="11" t="s">
        <v>35</v>
      </c>
    </row>
    <row r="16" customFormat="false" ht="15" hidden="false" customHeight="false" outlineLevel="0" collapsed="false">
      <c r="A16" s="9" t="s">
        <v>90</v>
      </c>
      <c r="B16" s="9" t="s">
        <v>91</v>
      </c>
      <c r="C16" s="9" t="s">
        <v>92</v>
      </c>
      <c r="D16" s="9" t="s">
        <v>93</v>
      </c>
      <c r="E16" s="10" t="s">
        <v>28</v>
      </c>
      <c r="F16" s="9" t="s">
        <v>94</v>
      </c>
    </row>
    <row r="17" customFormat="false" ht="35.05" hidden="false" customHeight="false" outlineLevel="0" collapsed="false">
      <c r="A17" s="11" t="s">
        <v>95</v>
      </c>
      <c r="B17" s="11" t="s">
        <v>96</v>
      </c>
      <c r="C17" s="11" t="s">
        <v>97</v>
      </c>
      <c r="D17" s="11" t="s">
        <v>98</v>
      </c>
      <c r="E17" s="12" t="s">
        <v>34</v>
      </c>
      <c r="F17" s="11" t="s">
        <v>99</v>
      </c>
    </row>
    <row r="18" customFormat="false" ht="35.05" hidden="false" customHeight="false" outlineLevel="0" collapsed="false">
      <c r="A18" s="9" t="s">
        <v>100</v>
      </c>
      <c r="B18" s="9" t="s">
        <v>101</v>
      </c>
      <c r="C18" s="9" t="s">
        <v>102</v>
      </c>
      <c r="D18" s="9" t="s">
        <v>103</v>
      </c>
      <c r="E18" s="14" t="s">
        <v>34</v>
      </c>
      <c r="F18" s="9" t="s">
        <v>104</v>
      </c>
    </row>
    <row r="19" customFormat="false" ht="35.05" hidden="false" customHeight="false" outlineLevel="0" collapsed="false">
      <c r="A19" s="11" t="s">
        <v>105</v>
      </c>
      <c r="B19" s="11" t="s">
        <v>106</v>
      </c>
      <c r="C19" s="11" t="s">
        <v>107</v>
      </c>
      <c r="D19" s="11" t="s">
        <v>108</v>
      </c>
      <c r="E19" s="13" t="s">
        <v>28</v>
      </c>
      <c r="F19" s="11" t="s">
        <v>109</v>
      </c>
    </row>
    <row r="20" customFormat="false" ht="35.05" hidden="false" customHeight="false" outlineLevel="0" collapsed="false">
      <c r="A20" s="9" t="s">
        <v>110</v>
      </c>
      <c r="B20" s="9" t="s">
        <v>111</v>
      </c>
      <c r="C20" s="9" t="s">
        <v>112</v>
      </c>
      <c r="D20" s="9" t="s">
        <v>113</v>
      </c>
      <c r="E20" s="14" t="s">
        <v>34</v>
      </c>
      <c r="F20" s="9" t="s">
        <v>114</v>
      </c>
    </row>
    <row r="21" customFormat="false" ht="35.05" hidden="false" customHeight="false" outlineLevel="0" collapsed="false">
      <c r="A21" s="11" t="s">
        <v>115</v>
      </c>
      <c r="B21" s="11" t="s">
        <v>116</v>
      </c>
      <c r="C21" s="11" t="s">
        <v>117</v>
      </c>
      <c r="D21" s="11" t="s">
        <v>118</v>
      </c>
      <c r="E21" s="13" t="s">
        <v>28</v>
      </c>
      <c r="F21" s="11" t="s">
        <v>119</v>
      </c>
    </row>
    <row r="22" customFormat="false" ht="35.05" hidden="false" customHeight="false" outlineLevel="0" collapsed="false">
      <c r="A22" s="9" t="s">
        <v>120</v>
      </c>
      <c r="B22" s="9" t="s">
        <v>121</v>
      </c>
      <c r="C22" s="9" t="s">
        <v>122</v>
      </c>
      <c r="D22" s="9" t="s">
        <v>123</v>
      </c>
      <c r="E22" s="10" t="s">
        <v>28</v>
      </c>
      <c r="F22" s="9" t="s">
        <v>124</v>
      </c>
    </row>
    <row r="23" customFormat="false" ht="35.05" hidden="false" customHeight="false" outlineLevel="0" collapsed="false">
      <c r="A23" s="11" t="s">
        <v>125</v>
      </c>
      <c r="B23" s="11" t="s">
        <v>126</v>
      </c>
      <c r="C23" s="11" t="s">
        <v>127</v>
      </c>
      <c r="D23" s="11" t="s">
        <v>128</v>
      </c>
      <c r="E23" s="15" t="s">
        <v>129</v>
      </c>
      <c r="F23" s="11" t="s">
        <v>124</v>
      </c>
    </row>
    <row r="24" customFormat="false" ht="23.85" hidden="false" customHeight="false" outlineLevel="0" collapsed="false">
      <c r="A24" s="9" t="s">
        <v>130</v>
      </c>
      <c r="B24" s="9" t="s">
        <v>131</v>
      </c>
      <c r="C24" s="9" t="s">
        <v>132</v>
      </c>
      <c r="D24" s="9" t="s">
        <v>133</v>
      </c>
      <c r="E24" s="10" t="s">
        <v>28</v>
      </c>
      <c r="F24" s="9" t="s">
        <v>134</v>
      </c>
    </row>
  </sheetData>
  <autoFilter ref="A1:F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7" min="6" style="0" width="10"/>
  </cols>
  <sheetData>
    <row r="1" customFormat="false" ht="30" hidden="false" customHeight="true" outlineLevel="0" collapsed="false">
      <c r="A1" s="8" t="s">
        <v>18</v>
      </c>
      <c r="B1" s="8" t="s">
        <v>135</v>
      </c>
      <c r="C1" s="8" t="s">
        <v>136</v>
      </c>
      <c r="D1" s="8" t="s">
        <v>137</v>
      </c>
      <c r="E1" s="8" t="s">
        <v>138</v>
      </c>
      <c r="F1" s="8" t="s">
        <v>139</v>
      </c>
      <c r="G1" s="8" t="s">
        <v>140</v>
      </c>
    </row>
    <row r="2" customFormat="false" ht="23.85" hidden="false" customHeight="false" outlineLevel="0" collapsed="false">
      <c r="A2" s="9" t="s">
        <v>141</v>
      </c>
      <c r="B2" s="9" t="s">
        <v>142</v>
      </c>
      <c r="C2" s="9" t="s">
        <v>143</v>
      </c>
      <c r="D2" s="14" t="s">
        <v>10</v>
      </c>
      <c r="E2" s="9" t="s">
        <v>144</v>
      </c>
      <c r="F2" s="9" t="s">
        <v>145</v>
      </c>
      <c r="G2" s="9" t="s">
        <v>146</v>
      </c>
    </row>
    <row r="3" customFormat="false" ht="35.05" hidden="false" customHeight="false" outlineLevel="0" collapsed="false">
      <c r="A3" s="11" t="s">
        <v>147</v>
      </c>
      <c r="B3" s="11" t="s">
        <v>148</v>
      </c>
      <c r="C3" s="11" t="s">
        <v>149</v>
      </c>
      <c r="D3" s="15" t="s">
        <v>9</v>
      </c>
      <c r="E3" s="11" t="s">
        <v>150</v>
      </c>
      <c r="F3" s="11" t="s">
        <v>145</v>
      </c>
      <c r="G3" s="11" t="s">
        <v>146</v>
      </c>
    </row>
    <row r="4" customFormat="false" ht="23.85" hidden="false" customHeight="false" outlineLevel="0" collapsed="false">
      <c r="A4" s="9" t="s">
        <v>151</v>
      </c>
      <c r="B4" s="9" t="s">
        <v>152</v>
      </c>
      <c r="C4" s="9" t="s">
        <v>153</v>
      </c>
      <c r="D4" s="16" t="s">
        <v>9</v>
      </c>
      <c r="E4" s="9" t="s">
        <v>154</v>
      </c>
      <c r="F4" s="9" t="s">
        <v>145</v>
      </c>
      <c r="G4" s="9" t="s">
        <v>146</v>
      </c>
    </row>
    <row r="5" customFormat="false" ht="35.05" hidden="false" customHeight="false" outlineLevel="0" collapsed="false">
      <c r="A5" s="11" t="s">
        <v>155</v>
      </c>
      <c r="B5" s="11" t="s">
        <v>156</v>
      </c>
      <c r="C5" s="11" t="s">
        <v>157</v>
      </c>
      <c r="D5" s="12" t="s">
        <v>10</v>
      </c>
      <c r="E5" s="11" t="s">
        <v>158</v>
      </c>
      <c r="F5" s="11" t="s">
        <v>145</v>
      </c>
      <c r="G5" s="11" t="s">
        <v>146</v>
      </c>
    </row>
    <row r="6" customFormat="false" ht="23.85" hidden="false" customHeight="false" outlineLevel="0" collapsed="false">
      <c r="A6" s="9" t="s">
        <v>159</v>
      </c>
      <c r="B6" s="9" t="s">
        <v>160</v>
      </c>
      <c r="C6" s="9" t="s">
        <v>161</v>
      </c>
      <c r="D6" s="14" t="s">
        <v>10</v>
      </c>
      <c r="E6" s="9" t="s">
        <v>162</v>
      </c>
      <c r="F6" s="9" t="s">
        <v>145</v>
      </c>
      <c r="G6" s="9" t="s">
        <v>146</v>
      </c>
    </row>
    <row r="7" customFormat="false" ht="23.85" hidden="false" customHeight="false" outlineLevel="0" collapsed="false">
      <c r="A7" s="11" t="s">
        <v>163</v>
      </c>
      <c r="B7" s="11" t="s">
        <v>164</v>
      </c>
      <c r="C7" s="11" t="s">
        <v>165</v>
      </c>
      <c r="D7" s="12" t="s">
        <v>10</v>
      </c>
      <c r="E7" s="11" t="s">
        <v>166</v>
      </c>
      <c r="F7" s="11" t="s">
        <v>145</v>
      </c>
      <c r="G7" s="11" t="s">
        <v>146</v>
      </c>
    </row>
    <row r="8" customFormat="false" ht="23.85" hidden="false" customHeight="false" outlineLevel="0" collapsed="false">
      <c r="A8" s="9" t="s">
        <v>167</v>
      </c>
      <c r="B8" s="9" t="s">
        <v>168</v>
      </c>
      <c r="C8" s="9" t="s">
        <v>169</v>
      </c>
      <c r="D8" s="10" t="s">
        <v>11</v>
      </c>
      <c r="E8" s="9" t="s">
        <v>170</v>
      </c>
      <c r="F8" s="9" t="s">
        <v>145</v>
      </c>
      <c r="G8" s="9" t="s">
        <v>146</v>
      </c>
    </row>
    <row r="9" customFormat="false" ht="23.85" hidden="false" customHeight="false" outlineLevel="0" collapsed="false">
      <c r="A9" s="11" t="s">
        <v>171</v>
      </c>
      <c r="B9" s="11" t="s">
        <v>172</v>
      </c>
      <c r="C9" s="11" t="s">
        <v>173</v>
      </c>
      <c r="D9" s="12" t="s">
        <v>10</v>
      </c>
      <c r="E9" s="11" t="s">
        <v>174</v>
      </c>
      <c r="F9" s="11" t="s">
        <v>145</v>
      </c>
      <c r="G9" s="11" t="s">
        <v>146</v>
      </c>
    </row>
    <row r="10" customFormat="false" ht="23.85" hidden="false" customHeight="false" outlineLevel="0" collapsed="false">
      <c r="A10" s="9" t="s">
        <v>175</v>
      </c>
      <c r="B10" s="9" t="s">
        <v>176</v>
      </c>
      <c r="C10" s="9" t="s">
        <v>177</v>
      </c>
      <c r="D10" s="14" t="s">
        <v>10</v>
      </c>
      <c r="E10" s="9" t="s">
        <v>178</v>
      </c>
      <c r="F10" s="9" t="s">
        <v>145</v>
      </c>
      <c r="G10" s="9" t="s">
        <v>146</v>
      </c>
    </row>
    <row r="11" customFormat="false" ht="23.85" hidden="false" customHeight="false" outlineLevel="0" collapsed="false">
      <c r="A11" s="11" t="s">
        <v>179</v>
      </c>
      <c r="B11" s="11" t="s">
        <v>180</v>
      </c>
      <c r="C11" s="11" t="s">
        <v>181</v>
      </c>
      <c r="D11" s="12" t="s">
        <v>10</v>
      </c>
      <c r="E11" s="11" t="s">
        <v>182</v>
      </c>
      <c r="F11" s="11" t="s">
        <v>145</v>
      </c>
      <c r="G11" s="11" t="s">
        <v>146</v>
      </c>
    </row>
    <row r="12" customFormat="false" ht="23.85" hidden="false" customHeight="false" outlineLevel="0" collapsed="false">
      <c r="A12" s="9" t="s">
        <v>183</v>
      </c>
      <c r="B12" s="9" t="s">
        <v>184</v>
      </c>
      <c r="C12" s="9" t="s">
        <v>185</v>
      </c>
      <c r="D12" s="10" t="s">
        <v>11</v>
      </c>
      <c r="E12" s="9" t="s">
        <v>186</v>
      </c>
      <c r="F12" s="9" t="s">
        <v>145</v>
      </c>
      <c r="G12" s="9" t="s">
        <v>146</v>
      </c>
    </row>
    <row r="13" customFormat="false" ht="23.85" hidden="false" customHeight="false" outlineLevel="0" collapsed="false">
      <c r="A13" s="11" t="s">
        <v>187</v>
      </c>
      <c r="B13" s="11" t="s">
        <v>188</v>
      </c>
      <c r="C13" s="11" t="s">
        <v>189</v>
      </c>
      <c r="D13" s="12" t="s">
        <v>10</v>
      </c>
      <c r="E13" s="11" t="s">
        <v>190</v>
      </c>
      <c r="F13" s="11" t="s">
        <v>145</v>
      </c>
      <c r="G13" s="11" t="s">
        <v>146</v>
      </c>
    </row>
    <row r="14" customFormat="false" ht="46.25" hidden="false" customHeight="false" outlineLevel="0" collapsed="false">
      <c r="A14" s="9" t="s">
        <v>191</v>
      </c>
      <c r="B14" s="9" t="s">
        <v>192</v>
      </c>
      <c r="C14" s="9" t="s">
        <v>193</v>
      </c>
      <c r="D14" s="14" t="s">
        <v>10</v>
      </c>
      <c r="E14" s="9" t="s">
        <v>194</v>
      </c>
      <c r="F14" s="9" t="s">
        <v>145</v>
      </c>
      <c r="G14" s="9" t="s">
        <v>146</v>
      </c>
    </row>
    <row r="15" customFormat="false" ht="68.65" hidden="false" customHeight="false" outlineLevel="0" collapsed="false">
      <c r="A15" s="11" t="s">
        <v>195</v>
      </c>
      <c r="B15" s="11" t="s">
        <v>196</v>
      </c>
      <c r="C15" s="11" t="s">
        <v>197</v>
      </c>
      <c r="D15" s="15" t="s">
        <v>9</v>
      </c>
      <c r="E15" s="11" t="s">
        <v>198</v>
      </c>
      <c r="F15" s="11" t="s">
        <v>145</v>
      </c>
      <c r="G15" s="11" t="s">
        <v>146</v>
      </c>
    </row>
    <row r="16" customFormat="false" ht="46.25" hidden="false" customHeight="false" outlineLevel="0" collapsed="false">
      <c r="A16" s="9" t="s">
        <v>199</v>
      </c>
      <c r="B16" s="9" t="s">
        <v>200</v>
      </c>
      <c r="C16" s="9" t="s">
        <v>201</v>
      </c>
      <c r="D16" s="14" t="s">
        <v>10</v>
      </c>
      <c r="E16" s="9" t="s">
        <v>202</v>
      </c>
      <c r="F16" s="9" t="s">
        <v>145</v>
      </c>
      <c r="G16" s="9" t="s">
        <v>146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2026-07-21T12:10:46Z</dcterms:created>
  <dc:creator>openpyxl</dc:creator>
  <dc:description/>
  <dc:language>en-US</dc:language>
  <cp:lastModifiedBy/>
  <dcterms:modified xsi:type="dcterms:W3CDTF">2026-07-21T12:10:46Z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