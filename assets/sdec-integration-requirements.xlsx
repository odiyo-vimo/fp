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Journeys" sheetId="3" state="visible" r:id="rId5"/>
    <sheet name="Requirements" sheetId="4" state="visible" r:id="rId6"/>
    <sheet name="API Catalogue" sheetId="5" state="visible" r:id="rId7"/>
    <sheet name="Event Catalogue" sheetId="6" state="visible" r:id="rId8"/>
    <sheet name="Storage and States" sheetId="7" state="visible" r:id="rId9"/>
    <sheet name="Step Trace" sheetId="8" state="visible" r:id="rId10"/>
    <sheet name="Open Items" sheetId="9" state="visible" r:id="rId11"/>
    <sheet name="Sources" sheetId="10" state="visible" r:id="rId12"/>
  </sheets>
  <definedNames>
    <definedName function="false" hidden="true" localSheetId="4" name="_xlnm._FilterDatabase" vbProcedure="false">'API Catalogue'!$A$1:$I$16</definedName>
    <definedName function="false" hidden="true" localSheetId="5" name="_xlnm._FilterDatabase" vbProcedure="false">'Event Catalogue'!$A$1:$J$14</definedName>
    <definedName function="false" hidden="true" localSheetId="2" name="_xlnm._FilterDatabase" vbProcedure="false">Journeys!$A$1:$I$4</definedName>
    <definedName function="false" hidden="true" localSheetId="8" name="_xlnm._FilterDatabase" vbProcedure="false">'Open Items'!$A$1:$I$25</definedName>
    <definedName function="false" hidden="true" localSheetId="3" name="_xlnm._FilterDatabase" vbProcedure="false">Requirements!$A$1:$P$50</definedName>
    <definedName function="false" hidden="true" localSheetId="9" name="_xlnm._FilterDatabase" vbProcedure="false">Sources!$A$1:$D$5</definedName>
    <definedName function="false" hidden="true" localSheetId="7" name="_xlnm._FilterDatabase" vbProcedure="false">'Step Trace'!$A$1:$M$106</definedName>
    <definedName function="false" hidden="true" localSheetId="6" name="_xlnm._FilterDatabase" vbProcedure="false">'Storage and States'!$A$1:$E$13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<sst xmlns="http://schemas.openxmlformats.org/spreadsheetml/2006/main" count="2760" uniqueCount="1012">
  <si>
    <t xml:space="preserve">SDEC consolidated integration requirements</t>
  </si>
  <si>
    <t xml:space="preserve">Integration, MFT and events across Create Thread, External User Upload and External User Submission</t>
  </si>
  <si>
    <t xml:space="preserve">Version v0.1 (draft), 30 September 2026</t>
  </si>
  <si>
    <t xml:space="preserve">How to use</t>
  </si>
  <si>
    <t xml:space="preserve">1</t>
  </si>
  <si>
    <t xml:space="preserve">Start with Journeys for scope, then Requirements. Every requirement row cites the source steps it was derived from.</t>
  </si>
  <si>
    <t xml:space="preserve">2</t>
  </si>
  <si>
    <t xml:space="preserve">Filter Requirements by Category (Integration (API), MFT, Event, Non-functional) or by Target system (NRS, eDMS, HIP, SDEC HCP, Communication Service).</t>
  </si>
  <si>
    <t xml:space="preserve">3</t>
  </si>
  <si>
    <t xml:space="preserve">Yellow cells (Owner, Comments on Requirements; Decision, Date on Open Items) are for you to fill in during review. Priority and Status have drop-down lists.</t>
  </si>
  <si>
    <t xml:space="preserve">4</t>
  </si>
  <si>
    <t xml:space="preserve">Step Trace lists every step from the three source designs with the requirement IDs that cover it. A step with no requirement ID is a user interface or front-end-only step.</t>
  </si>
  <si>
    <t xml:space="preserve">5</t>
  </si>
  <si>
    <t xml:space="preserve">Summary recalculates counts from the Requirements and Open Items sheets.</t>
  </si>
  <si>
    <t xml:space="preserve">Sheets</t>
  </si>
  <si>
    <t xml:space="preserve">Summary</t>
  </si>
  <si>
    <t xml:space="preserve">Counts of requirements by category and status, and open items by journey (formulas).</t>
  </si>
  <si>
    <t xml:space="preserve">Journeys</t>
  </si>
  <si>
    <t xml:space="preserve">The three journeys: actor, trigger, outcome, systems, HIP involvement and handoff.</t>
  </si>
  <si>
    <t xml:space="preserve">Requirements</t>
  </si>
  <si>
    <t xml:space="preserve">Consolidated integration, MFT, event and non-functional requirements (INT, MFT, EVT, NFR).</t>
  </si>
  <si>
    <t xml:space="preserve">API Catalogue</t>
  </si>
  <si>
    <t xml:space="preserve">Every endpoint in the three journeys, with consumer, provider and whether it routes through HIP.</t>
  </si>
  <si>
    <t xml:space="preserve">Event Catalogue</t>
  </si>
  <si>
    <t xml:space="preserve">Events and asynchronous commands: publisher, subscribers, channel, payload and state change.</t>
  </si>
  <si>
    <t xml:space="preserve">Storage and States</t>
  </si>
  <si>
    <t xml:space="preserve">Buckets, stores and tables, then the status values each journey sets.</t>
  </si>
  <si>
    <t xml:space="preserve">Step Trace</t>
  </si>
  <si>
    <t xml:space="preserve">All source steps (J1 Create Thread, J2 External User Document Upload, J3 External User Submission).</t>
  </si>
  <si>
    <t xml:space="preserve">Open Items</t>
  </si>
  <si>
    <t xml:space="preserve">Questions and decisions from the source notes and from architect review, each with an owner role.</t>
  </si>
  <si>
    <t xml:space="preserve">Sources</t>
  </si>
  <si>
    <t xml:space="preserve">The draft design pages this workbook consolidates.</t>
  </si>
  <si>
    <t xml:space="preserve">Conventions</t>
  </si>
  <si>
    <t xml:space="preserve">Journey codes</t>
  </si>
  <si>
    <t xml:space="preserve">J1 Create Thread; J2 External User Document Upload; J3 External User Submission (crystallisation). NRS and eDMS are legs inside J3; J1 step 45 reuses the eDMS leg.</t>
  </si>
  <si>
    <t xml:space="preserve">Origin</t>
  </si>
  <si>
    <t xml:space="preserve">'Source design' rows restate the draft designs. 'Architect proposal' rows are additions for review and are not yet agreed.</t>
  </si>
  <si>
    <t xml:space="preserve">HIP components</t>
  </si>
  <si>
    <t xml:space="preserve">API Management, Event Management and File Transfer Manager (MFT with AV Service and S3 landing, quarantine and clean staging buckets), as shown in the NRS integration detail.</t>
  </si>
  <si>
    <t xml:space="preserve">Internal user</t>
  </si>
  <si>
    <t xml:space="preserve">The thread owner inside the department (shown as the internal user in the source designs).</t>
  </si>
  <si>
    <t xml:space="preserve">Companion diagrams</t>
  </si>
  <si>
    <t xml:space="preserve">sdec-consolidated-journeys.drawio (journey view) and sdec-consolidated-interaction.drawio (sequence view of all three journeys), each with SVG / PNG copies.</t>
  </si>
  <si>
    <t xml:space="preserve">Requirements by category and status</t>
  </si>
  <si>
    <t xml:space="preserve">Category</t>
  </si>
  <si>
    <t xml:space="preserve">Draft</t>
  </si>
  <si>
    <t xml:space="preserve">Handoff (outside J1 design scope)</t>
  </si>
  <si>
    <t xml:space="preserve">Requirement on NRS</t>
  </si>
  <si>
    <t xml:space="preserve">Open</t>
  </si>
  <si>
    <t xml:space="preserve">To confirm</t>
  </si>
  <si>
    <t xml:space="preserve">Proposed</t>
  </si>
  <si>
    <t xml:space="preserve">Total</t>
  </si>
  <si>
    <t xml:space="preserve">Integration (API)</t>
  </si>
  <si>
    <t xml:space="preserve">MFT</t>
  </si>
  <si>
    <t xml:space="preserve">Event</t>
  </si>
  <si>
    <t xml:space="preserve">Non-functional</t>
  </si>
  <si>
    <t xml:space="preserve">Check: total equals number of requirement rows</t>
  </si>
  <si>
    <t xml:space="preserve">Requirements by target system (contains)</t>
  </si>
  <si>
    <t xml:space="preserve">Target system</t>
  </si>
  <si>
    <t xml:space="preserve">Must</t>
  </si>
  <si>
    <t xml:space="preserve">NRS</t>
  </si>
  <si>
    <t xml:space="preserve">eDMS</t>
  </si>
  <si>
    <t xml:space="preserve">HIP</t>
  </si>
  <si>
    <t xml:space="preserve">SDEC HCP</t>
  </si>
  <si>
    <t xml:space="preserve">SDEC</t>
  </si>
  <si>
    <t xml:space="preserve">Communication Service</t>
  </si>
  <si>
    <t xml:space="preserve">All</t>
  </si>
  <si>
    <t xml:space="preserve">SDEC and All count exact matches; other rows count any row whose target list contains the name.</t>
  </si>
  <si>
    <t xml:space="preserve">Open items by journey</t>
  </si>
  <si>
    <t xml:space="preserve">Journey</t>
  </si>
  <si>
    <t xml:space="preserve">All items</t>
  </si>
  <si>
    <t xml:space="preserve">J1</t>
  </si>
  <si>
    <t xml:space="preserve">J2</t>
  </si>
  <si>
    <t xml:space="preserve">J3</t>
  </si>
  <si>
    <t xml:space="preserve">Name</t>
  </si>
  <si>
    <t xml:space="preserve">Actor</t>
  </si>
  <si>
    <t xml:space="preserve">Trigger</t>
  </si>
  <si>
    <t xml:space="preserve">Outcome</t>
  </si>
  <si>
    <t xml:space="preserve">Systems</t>
  </si>
  <si>
    <t xml:space="preserve">HIP involvement</t>
  </si>
  <si>
    <t xml:space="preserve">Handoff</t>
  </si>
  <si>
    <t xml:space="preserve">Source</t>
  </si>
  <si>
    <t xml:space="preserve">Create Thread</t>
  </si>
  <si>
    <t xml:space="preserve">Internal user (thread owner)</t>
  </si>
  <si>
    <t xml:space="preserve">Internal user selects Create Thread in the workspace (already authenticated and authorised to create threads)</t>
  </si>
  <si>
    <t xml:space="preserve">Thread in pending status with technical and business reference; attachments passed to eDMS; recipient notified (proposed)</t>
  </si>
  <si>
    <t xml:space="preserve">Internal user browser, SDEC front end (internal, MDTP), SDEC Thread Manager (HCP), HIP File Transfer Manager, eDMS (Doxis)</t>
  </si>
  <si>
    <t xml:space="preserve">File upload per attachment (separate File Upload sequence, pattern TBC); eDMS transfer at step 45; thread confirmation event (proposed)</t>
  </si>
  <si>
    <t xml:space="preserve">Recipient (external user) is asked to provide documents: leads into J2</t>
  </si>
  <si>
    <t xml:space="preserve">External User Document Upload</t>
  </si>
  <si>
    <t xml:space="preserve">External user</t>
  </si>
  <si>
    <t xml:space="preserve">External user selects documents to upload against a thread interaction</t>
  </si>
  <si>
    <t xml:space="preserve">Documents clean-staged in HIP (or quarantined); session, interaction and document state updated; user notified</t>
  </si>
  <si>
    <t xml:space="preserve">External user browser, SDEC front end (external, MDTP), HIP File Transfer Manager with AV Service and S3 landing / quarantine / clean staging buckets, SDEC Thread Manager (HCP)</t>
  </si>
  <si>
    <t xml:space="preserve">File Transfer API, pre-signed URL generation, landing bucket, AV scan, quarantine, clean staging, upload outcome events</t>
  </si>
  <si>
    <t xml:space="preserve">Clean-staged documents are referenced by the submission: leads into J3</t>
  </si>
  <si>
    <t xml:space="preserve">External User Submission (crystallisation)</t>
  </si>
  <si>
    <t xml:space="preserve">External user; Internal user notified</t>
  </si>
  <si>
    <t xml:space="preserve">External user clicks submit on the interaction response</t>
  </si>
  <si>
    <t xml:space="preserve">Signed submission with attachments held by NRS (evidential) and ingested by eDMS; both users notified; staged files deleted</t>
  </si>
  <si>
    <t xml:space="preserve">SDEC front end (external and internal), SDEC Thread Manager, HIP API Management, Event Management and File Transfer Manager, NRS, eDMS, Communication Service, SMS Gateway</t>
  </si>
  <si>
    <t xml:space="preserve">NRS Submission and Attachment APIs via API Management; file transfer request queue; transfers to NRS and eDMS; transfer, acceptance and deletion events</t>
  </si>
  <si>
    <t xml:space="preserve">End of journey</t>
  </si>
  <si>
    <t xml:space="preserve">J3, NRS</t>
  </si>
  <si>
    <t xml:space="preserve">ID</t>
  </si>
  <si>
    <t xml:space="preserve">Title</t>
  </si>
  <si>
    <t xml:space="preserve">Requirement</t>
  </si>
  <si>
    <t xml:space="preserve">Source steps</t>
  </si>
  <si>
    <t xml:space="preserve">From</t>
  </si>
  <si>
    <t xml:space="preserve">To</t>
  </si>
  <si>
    <t xml:space="preserve">Pattern</t>
  </si>
  <si>
    <t xml:space="preserve">HIP component</t>
  </si>
  <si>
    <t xml:space="preserve">Priority</t>
  </si>
  <si>
    <t xml:space="preserve">Status</t>
  </si>
  <si>
    <t xml:space="preserve">Open items</t>
  </si>
  <si>
    <t xml:space="preserve">Owner</t>
  </si>
  <si>
    <t xml:space="preserve">Comments</t>
  </si>
  <si>
    <t xml:space="preserve">INT-01</t>
  </si>
  <si>
    <t xml:space="preserve">Create thread API</t>
  </si>
  <si>
    <t xml:space="preserve">SDEC front end (internal) shall call the Thread Service API (POST) to create a thread entity record once contact details are captured. Thread Manager shall generate the technical and business-facing thread references together and set the thread to Pending thread created. The business reference is returned only at the confirmation step, not in the create response.</t>
  </si>
  <si>
    <t xml:space="preserve">J1 steps 9, 10, 11, 12</t>
  </si>
  <si>
    <t xml:space="preserve">SDEC front end (internal)</t>
  </si>
  <si>
    <t xml:space="preserve">SDEC Thread Manager</t>
  </si>
  <si>
    <t xml:space="preserve">Sync REST</t>
  </si>
  <si>
    <t xml:space="preserve">TBC</t>
  </si>
  <si>
    <t xml:space="preserve">OI-01, OI-02, OI-06, OI-19</t>
  </si>
  <si>
    <t xml:space="preserve">Source design</t>
  </si>
  <si>
    <t xml:space="preserve">INT-02</t>
  </si>
  <si>
    <t xml:space="preserve">Submit thread API</t>
  </si>
  <si>
    <t xml:space="preserve">SDEC front end (internal) shall submit the confirmed thread to Thread Manager via the Submission Service API (PUT). Thread Manager updates the thread and returns a submission response.</t>
  </si>
  <si>
    <t xml:space="preserve">J1 steps 40, 41, 42, 43, 44</t>
  </si>
  <si>
    <t xml:space="preserve">OI-05, OI-08, OI-19</t>
  </si>
  <si>
    <t xml:space="preserve">INT-03</t>
  </si>
  <si>
    <t xml:space="preserve">Thread attachments to eDMS</t>
  </si>
  <si>
    <t xml:space="preserve">On thread submission, Thread Manager shall initiate transfer of the thread's attached files to eDMS, reusing the eDMS ingestion leg of the submission journey (EVT-07, MFT-10, EVT-08).</t>
  </si>
  <si>
    <t xml:space="preserve">J1 steps 45; J3 steps 25, 26, 29</t>
  </si>
  <si>
    <t xml:space="preserve">eDMS (Doxis)</t>
  </si>
  <si>
    <t xml:space="preserve">Async command + REST</t>
  </si>
  <si>
    <t xml:space="preserve">Event Management; File Transfer Manager</t>
  </si>
  <si>
    <t xml:space="preserve">OI-08</t>
  </si>
  <si>
    <t xml:space="preserve">INT-04</t>
  </si>
  <si>
    <t xml:space="preserve">File upload request (consumer side)</t>
  </si>
  <si>
    <t xml:space="preserve">Front-end Service (external) shall request uploads through the HIP File Transfer API, passing document metadata and thread / interaction ids, and relay the returned pre-signed URLs to the browser. File content never passes through the front end.</t>
  </si>
  <si>
    <t xml:space="preserve">J2 steps 5, 7, 10</t>
  </si>
  <si>
    <t xml:space="preserve">SDEC front end (external)</t>
  </si>
  <si>
    <t xml:space="preserve">HIP File Transfer Manager</t>
  </si>
  <si>
    <t xml:space="preserve">File Transfer Manager (API Management TBC)</t>
  </si>
  <si>
    <t xml:space="preserve">OI-22</t>
  </si>
  <si>
    <t xml:space="preserve">INT-05</t>
  </si>
  <si>
    <t xml:space="preserve">Submission initiation API</t>
  </si>
  <si>
    <t xml:space="preserve">Front-end Service (external) shall call Thread Manager POST /interaction/submissions with submission content and signed hash. Thread Manager records Submission requested and returns a synchronous acknowledgement only; NRS and eDMS processing continues asynchronously.</t>
  </si>
  <si>
    <t xml:space="preserve">J3 steps 6, 7, 8, 9</t>
  </si>
  <si>
    <t xml:space="preserve">Sync REST (ack only)</t>
  </si>
  <si>
    <t xml:space="preserve">OI-19</t>
  </si>
  <si>
    <t xml:space="preserve">INT-06</t>
  </si>
  <si>
    <t xml:space="preserve">Submission content integrity</t>
  </si>
  <si>
    <t xml:space="preserve">The browser shall hash the web form content (SHA-256 TBC). Front-end Service (external) validates the hash and signs it if not already signed. The signed hash travels with the payload to NRS.</t>
  </si>
  <si>
    <t xml:space="preserve">J3 steps 2, 3, 4, 5, 11</t>
  </si>
  <si>
    <t xml:space="preserve">Browser / SDEC front end (external)</t>
  </si>
  <si>
    <t xml:space="preserve">Payload attribute</t>
  </si>
  <si>
    <t xml:space="preserve">API Management</t>
  </si>
  <si>
    <t xml:space="preserve">OI-14</t>
  </si>
  <si>
    <t xml:space="preserve">INT-07</t>
  </si>
  <si>
    <t xml:space="preserve">NRS Submission API via HIP</t>
  </si>
  <si>
    <t xml:space="preserve">Thread Manager shall call the NRS Submission API through HIP API Management with the signed interaction payload and attachment metadata / references. NRS persists the payload to transient storage and returns an NRS submission id, which Thread Manager stores.</t>
  </si>
  <si>
    <t xml:space="preserve">J3 steps 11, 12, 13, 14; Requirements for NRS 1</t>
  </si>
  <si>
    <t xml:space="preserve">OI-12, OI-13</t>
  </si>
  <si>
    <t xml:space="preserve">INT-08</t>
  </si>
  <si>
    <t xml:space="preserve">NRS Attachment API via HIP</t>
  </si>
  <si>
    <t xml:space="preserve">Thread Manager shall call the NRS Attachment API through HIP API Management with the NRS submission id and document metadata. NRS generates and returns pre-signed upload URLs to Thread Manager.</t>
  </si>
  <si>
    <t xml:space="preserve">J3 steps 15, 16, 17; Requirements for NRS 1</t>
  </si>
  <si>
    <t xml:space="preserve">OI-15</t>
  </si>
  <si>
    <t xml:space="preserve">INT-09</t>
  </si>
  <si>
    <t xml:space="preserve">NRS APIs published through iPaaS</t>
  </si>
  <si>
    <t xml:space="preserve">NRS shall publish its Submission and Attachment APIs via HIP (iPaaS) API Management.</t>
  </si>
  <si>
    <t xml:space="preserve">Requirements for NRS 1</t>
  </si>
  <si>
    <t xml:space="preserve">HIP API Management</t>
  </si>
  <si>
    <t xml:space="preserve">API publication</t>
  </si>
  <si>
    <t xml:space="preserve">OI-12</t>
  </si>
  <si>
    <t xml:space="preserve">INT-10</t>
  </si>
  <si>
    <t xml:space="preserve">NRS capacity for SDEC volumes</t>
  </si>
  <si>
    <t xml:space="preserve">NRS shall enhance its APIs, services and underlying infrastructure to support SDEC projected transaction and attachment (document) volumes and attachment sizes.</t>
  </si>
  <si>
    <t xml:space="preserve">Requirements for NRS 2</t>
  </si>
  <si>
    <t xml:space="preserve">Capacity</t>
  </si>
  <si>
    <t xml:space="preserve">API Management; File Transfer Manager</t>
  </si>
  <si>
    <t xml:space="preserve">OI-21, NFR-08</t>
  </si>
  <si>
    <t xml:space="preserve">INT-11</t>
  </si>
  <si>
    <t xml:space="preserve">eDMS upload document API</t>
  </si>
  <si>
    <t xml:space="preserve">eDMS shall expose an upload document API reachable from HIP File Transfer Manager, accepting documents, document metadata and transaction context, and returning success / failure and eDMS document references.</t>
  </si>
  <si>
    <t xml:space="preserve">J3 steps 26, 27, 28</t>
  </si>
  <si>
    <t xml:space="preserve">File Transfer Manager</t>
  </si>
  <si>
    <t xml:space="preserve">OI-13, OI-18</t>
  </si>
  <si>
    <t xml:space="preserve">INT-12</t>
  </si>
  <si>
    <t xml:space="preserve">Notification request</t>
  </si>
  <si>
    <t xml:space="preserve">Thread Manager shall call the Communication Service ('Send notification', endpoint TBC) to trigger email / SMS to the external user and email to the internal user through the SMS Gateway. Response status handling is covered by the communication design.</t>
  </si>
  <si>
    <t xml:space="preserve">J3 steps 33, 37, 38</t>
  </si>
  <si>
    <t xml:space="preserve">OI-17</t>
  </si>
  <si>
    <t xml:space="preserve">INT-13</t>
  </si>
  <si>
    <t xml:space="preserve">Independent parallel NRS and eDMS legs</t>
  </si>
  <si>
    <t xml:space="preserve">NRS submission and eDMS ingestion shall run in parallel and independently. NRS transfer status does not depend on eDMS, and Submission Completed does not depend on NRS succeeding.</t>
  </si>
  <si>
    <t xml:space="preserve">J3 steps 11, 22, 25, 30</t>
  </si>
  <si>
    <t xml:space="preserve">NRS; eDMS</t>
  </si>
  <si>
    <t xml:space="preserve">Orchestration</t>
  </si>
  <si>
    <t xml:space="preserve">API Management; Event Management; File Transfer Manager</t>
  </si>
  <si>
    <t xml:space="preserve">INT-14</t>
  </si>
  <si>
    <t xml:space="preserve">End-to-end document identity</t>
  </si>
  <si>
    <t xml:space="preserve">Document identifiers shall be consistent from upload (J2) through NRS and eDMS, or the submission id shall be confirmed as the correlation key.</t>
  </si>
  <si>
    <t xml:space="preserve">J3 steps 11, 26; J2 steps 9</t>
  </si>
  <si>
    <t xml:space="preserve">Data contract</t>
  </si>
  <si>
    <t xml:space="preserve">All HIP components</t>
  </si>
  <si>
    <t xml:space="preserve">OI-13</t>
  </si>
  <si>
    <t xml:space="preserve">MFT-01</t>
  </si>
  <si>
    <t xml:space="preserve">File Transfer API (provider)</t>
  </si>
  <si>
    <t xml:space="preserve">HIP File Transfer Manager shall expose POST /file_uploads accepting document metadata (file names, types, sizes) and thread / interaction ids, and return a file collection id and pre-signed URLs.</t>
  </si>
  <si>
    <t xml:space="preserve">J2 steps 5, 7</t>
  </si>
  <si>
    <t xml:space="preserve">MFT-02</t>
  </si>
  <si>
    <t xml:space="preserve">Upload strategy and pre-signed URLs</t>
  </si>
  <si>
    <t xml:space="preserve">File Transfer Manager shall select single or multi-part upload per file from its size and generate time-limited pre-signed URLs scoped to the landing bucket.</t>
  </si>
  <si>
    <t xml:space="preserve">J2 steps 6</t>
  </si>
  <si>
    <t xml:space="preserve">Internal</t>
  </si>
  <si>
    <t xml:space="preserve">OI-21</t>
  </si>
  <si>
    <t xml:space="preserve">MFT-03</t>
  </si>
  <si>
    <t xml:space="preserve">Landing bucket for direct upload</t>
  </si>
  <si>
    <t xml:space="preserve">Browsers shall upload directly to a HIP landing bucket (AWS S3) using the pre-signed URLs.</t>
  </si>
  <si>
    <t xml:space="preserve">J2 steps 11</t>
  </si>
  <si>
    <t xml:space="preserve">External user browser</t>
  </si>
  <si>
    <t xml:space="preserve">HIP landing bucket</t>
  </si>
  <si>
    <t xml:space="preserve">File transfer</t>
  </si>
  <si>
    <t xml:space="preserve">MFT-04</t>
  </si>
  <si>
    <t xml:space="preserve">AV scan and validation</t>
  </si>
  <si>
    <t xml:space="preserve">File Transfer Manager shall scan and validate every uploaded file through the AV Service before it can be used downstream.</t>
  </si>
  <si>
    <t xml:space="preserve">J2 steps 12</t>
  </si>
  <si>
    <t xml:space="preserve">AV Service</t>
  </si>
  <si>
    <t xml:space="preserve">MFT-05</t>
  </si>
  <si>
    <t xml:space="preserve">Quarantine</t>
  </si>
  <si>
    <t xml:space="preserve">Files failing AV or validation shall be moved to a quarantine bucket (AWS S3) and never released downstream.</t>
  </si>
  <si>
    <t xml:space="preserve">J2 steps 13</t>
  </si>
  <si>
    <t xml:space="preserve">Quarantine bucket</t>
  </si>
  <si>
    <t xml:space="preserve">NFR-07</t>
  </si>
  <si>
    <t xml:space="preserve">MFT-06</t>
  </si>
  <si>
    <t xml:space="preserve">Clean staging</t>
  </si>
  <si>
    <t xml:space="preserve">Clean, valid files shall be moved to a clean staging bucket (AWS S3), which is the only source for onward transfers to NRS and eDMS.</t>
  </si>
  <si>
    <t xml:space="preserve">J2 steps 18; J3 steps 19, 26</t>
  </si>
  <si>
    <t xml:space="preserve">Clean staging bucket</t>
  </si>
  <si>
    <t xml:space="preserve">MFT-07</t>
  </si>
  <si>
    <t xml:space="preserve">Upload outcome events</t>
  </si>
  <si>
    <t xml:space="preserve">File Transfer Manager shall publish file_upload_succeeded or file_upload_failed (with error details) for each file collection, consumed by Front-end Service (external) and Thread Manager.</t>
  </si>
  <si>
    <t xml:space="preserve">J2 steps 14, 19</t>
  </si>
  <si>
    <t xml:space="preserve">SDEC front end (external); Thread Manager</t>
  </si>
  <si>
    <t xml:space="preserve">Event Management</t>
  </si>
  <si>
    <t xml:space="preserve">OI-10</t>
  </si>
  <si>
    <t xml:space="preserve">MFT-08</t>
  </si>
  <si>
    <t xml:space="preserve">File transfer request queue</t>
  </si>
  <si>
    <t xml:space="preserve">File Transfer Manager shall consume asynchronous commands from Thread Manager on a file transfer request queue: transfer to NRS, transfer to eDMS and delete staged files. Each command carries the file collection reference, target identifier(s) and transaction context.</t>
  </si>
  <si>
    <t xml:space="preserve">J3 steps 18, 25, 39</t>
  </si>
  <si>
    <t xml:space="preserve">Async command</t>
  </si>
  <si>
    <t xml:space="preserve">OI-20</t>
  </si>
  <si>
    <t xml:space="preserve">MFT-09</t>
  </si>
  <si>
    <t xml:space="preserve">Transfer to NRS transient storage</t>
  </si>
  <si>
    <t xml:space="preserve">File Transfer Manager shall upload clean-staged files to NRS transient storage using the NRS-issued pre-signed URLs supplied in the command.</t>
  </si>
  <si>
    <t xml:space="preserve">J3 steps 19, 20</t>
  </si>
  <si>
    <t xml:space="preserve">NRS transient storage</t>
  </si>
  <si>
    <t xml:space="preserve">MFT-10</t>
  </si>
  <si>
    <t xml:space="preserve">Transfer to eDMS</t>
  </si>
  <si>
    <t xml:space="preserve">File Transfer Manager shall send clean-staged files with document metadata and transaction context to the eDMS upload document API and handle the synchronous success / failure response.</t>
  </si>
  <si>
    <t xml:space="preserve">J3 steps 26, 28; J1 steps 45</t>
  </si>
  <si>
    <t xml:space="preserve">OI-18</t>
  </si>
  <si>
    <t xml:space="preserve">MFT-11</t>
  </si>
  <si>
    <t xml:space="preserve">Transfer outcome events</t>
  </si>
  <si>
    <t xml:space="preserve">File Transfer Manager shall publish a transfer outcome event per target (NRS, eDMS) to Thread Manager: file_transfer_succeeded, and a failure outcome whose name and payload are to be agreed.</t>
  </si>
  <si>
    <t xml:space="preserve">J3 steps 21, 29</t>
  </si>
  <si>
    <t xml:space="preserve">MFT-12</t>
  </si>
  <si>
    <t xml:space="preserve">Staged file deletion</t>
  </si>
  <si>
    <t xml:space="preserve">File Transfer Manager shall delete staged files for a file collection on a delete_staged_files command and publish file_deletion_succeeded.</t>
  </si>
  <si>
    <t xml:space="preserve">J3 steps 39, 40, 41</t>
  </si>
  <si>
    <t xml:space="preserve">Async command + event</t>
  </si>
  <si>
    <t xml:space="preserve">OI-23</t>
  </si>
  <si>
    <t xml:space="preserve">MFT-13</t>
  </si>
  <si>
    <t xml:space="preserve">File collection correlation</t>
  </si>
  <si>
    <t xml:space="preserve">The file collection id issued at upload shall be the MFT correlation key for upload, transfer and deletion across J2 and J3.</t>
  </si>
  <si>
    <t xml:space="preserve">J2 steps 7; J3 steps 18, 25, 39, 41</t>
  </si>
  <si>
    <t xml:space="preserve">All consumers</t>
  </si>
  <si>
    <t xml:space="preserve">MFT-14</t>
  </si>
  <si>
    <t xml:space="preserve">Internal user file upload (Create Thread)</t>
  </si>
  <si>
    <t xml:space="preserve">Files attached by the internal user when creating a thread shall be uploaded through the separate File Upload sequence and stored in S3. Assumed to reuse MFT-01 to MFT-07; to be confirmed.</t>
  </si>
  <si>
    <t xml:space="preserve">J1 steps Loop, 23</t>
  </si>
  <si>
    <t xml:space="preserve">Internal user browser</t>
  </si>
  <si>
    <t xml:space="preserve">OI-04</t>
  </si>
  <si>
    <t xml:space="preserve">EVT-01</t>
  </si>
  <si>
    <t xml:space="preserve">document_upload_requested</t>
  </si>
  <si>
    <t xml:space="preserve">Front-end Service (external) shall publish document_upload_requested after receiving pre-signed URLs. Thread Manager subscribes, updates the thread interaction status and creates SDEC Document records.</t>
  </si>
  <si>
    <t xml:space="preserve">J2 steps 8, 9</t>
  </si>
  <si>
    <t xml:space="preserve">Event Management (TBC)</t>
  </si>
  <si>
    <t xml:space="preserve">EVT-02</t>
  </si>
  <si>
    <t xml:space="preserve">file_upload_failed</t>
  </si>
  <si>
    <t xml:space="preserve">File Transfer Manager shall publish file_upload_failed with document references and error details. Front-end Service (external) updates session state and notifies the user; Thread Manager records Document upload failed.</t>
  </si>
  <si>
    <t xml:space="preserve">J2 steps 14, 15, 16, 17</t>
  </si>
  <si>
    <t xml:space="preserve">EVT-03</t>
  </si>
  <si>
    <t xml:space="preserve">file_upload_succeeded</t>
  </si>
  <si>
    <t xml:space="preserve">File Transfer Manager shall publish file_upload_succeeded with document references. Front-end Service (external) updates session state and notifies the user; Thread Manager records Document upload succeeded.</t>
  </si>
  <si>
    <t xml:space="preserve">J2 steps 19, 20, 21, 22</t>
  </si>
  <si>
    <t xml:space="preserve">EVT-04</t>
  </si>
  <si>
    <t xml:space="preserve">request_file_transfer (target NRS)</t>
  </si>
  <si>
    <t xml:space="preserve">Thread Manager shall send an asynchronous Request File Transfer command for NRS with pre-signed URLs, file collection reference, target identifier(s) and transaction context.</t>
  </si>
  <si>
    <t xml:space="preserve">J3 steps 18</t>
  </si>
  <si>
    <t xml:space="preserve">OI-15, OI-20</t>
  </si>
  <si>
    <t xml:space="preserve">EVT-05</t>
  </si>
  <si>
    <t xml:space="preserve">file_transfer_succeeded (NRS)</t>
  </si>
  <si>
    <t xml:space="preserve">Thread Manager shall consume file_transfer_succeeded for the NRS target and record documents transferred to NRS, independent of eDMS status.</t>
  </si>
  <si>
    <t xml:space="preserve">J3 steps 21, 22</t>
  </si>
  <si>
    <t xml:space="preserve">EVT-06</t>
  </si>
  <si>
    <t xml:space="preserve">attachments_accepted (NRS)</t>
  </si>
  <si>
    <t xml:space="preserve">NRS shall notify SDEC asynchronously when a submission and its attachments are accepted (attachments_accepted via HIP Event Management). SDEC prefers an event; the NRS team has suggested polling.</t>
  </si>
  <si>
    <t xml:space="preserve">J3 steps A.1, A.2, 23, 24; Requirements for NRS 3</t>
  </si>
  <si>
    <t xml:space="preserve">OI-16</t>
  </si>
  <si>
    <t xml:space="preserve">EVT-07</t>
  </si>
  <si>
    <t xml:space="preserve">request_file_transfer (target eDMS)</t>
  </si>
  <si>
    <t xml:space="preserve">Thread Manager shall send an asynchronous Request File Transfer command for eDMS with file collection reference, target identifier(s) and transaction context.</t>
  </si>
  <si>
    <t xml:space="preserve">J3 steps 25; J1 steps 45</t>
  </si>
  <si>
    <t xml:space="preserve">EVT-08</t>
  </si>
  <si>
    <t xml:space="preserve">file_transfer_succeeded (eDMS)</t>
  </si>
  <si>
    <t xml:space="preserve">Thread Manager shall consume file_transfer_succeeded for eDMS, with eDMS document references, and set Submission Completed (not dependent on NRS).</t>
  </si>
  <si>
    <t xml:space="preserve">J3 steps 29, 30</t>
  </si>
  <si>
    <t xml:space="preserve">EVT-09</t>
  </si>
  <si>
    <t xml:space="preserve">submission_completed</t>
  </si>
  <si>
    <t xml:space="preserve">Thread Manager shall publish submission_completed (interaction status submitted). Front-end Service (external) notifies the external user; Front-end Service (internal) notifies the internal user.</t>
  </si>
  <si>
    <t xml:space="preserve">J3 steps 31, 32, 34, 35, 36</t>
  </si>
  <si>
    <t xml:space="preserve">SDEC front end (external and internal)</t>
  </si>
  <si>
    <t xml:space="preserve">EVT-10</t>
  </si>
  <si>
    <t xml:space="preserve">delete_staged_files</t>
  </si>
  <si>
    <t xml:space="preserve">Thread Manager shall send delete_staged_files only after both eDMS ingestion (EVT-08) and NRS acceptance (EVT-06) are confirmed.</t>
  </si>
  <si>
    <t xml:space="preserve">J3 steps 39</t>
  </si>
  <si>
    <t xml:space="preserve">EVT-11</t>
  </si>
  <si>
    <t xml:space="preserve">file_deletion_succeeded</t>
  </si>
  <si>
    <t xml:space="preserve">File Transfer Manager shall publish file_deletion_succeeded (file collection id). Thread Manager updates document statuses to staged files deleted.</t>
  </si>
  <si>
    <t xml:space="preserve">J3 steps 41, 42</t>
  </si>
  <si>
    <t xml:space="preserve">EVT-12</t>
  </si>
  <si>
    <t xml:space="preserve">thread_confirmed (proposed)</t>
  </si>
  <si>
    <t xml:space="preserve">An event for thread confirmation shall be added that calls the search service in iPaaS, the email service and the internal outlook service, so the recipient is told a thread is awaiting them.</t>
  </si>
  <si>
    <t xml:space="preserve">J1 design note (confirmation)</t>
  </si>
  <si>
    <t xml:space="preserve">Search service; email service; outlook service</t>
  </si>
  <si>
    <t xml:space="preserve">Should</t>
  </si>
  <si>
    <t xml:space="preserve">OI-09</t>
  </si>
  <si>
    <t xml:space="preserve">EVT-13</t>
  </si>
  <si>
    <t xml:space="preserve">Failure outcomes for transfer and deletion</t>
  </si>
  <si>
    <t xml:space="preserve">Failure outcomes shall be defined for NRS transfer, eDMS transfer and staged file deletion (for example file_transfer_failed, file_deletion_failed), with Thread Manager state handling.</t>
  </si>
  <si>
    <t xml:space="preserve">J3 steps 21, 29, 41</t>
  </si>
  <si>
    <t xml:space="preserve">NRS; eDMS; HIP</t>
  </si>
  <si>
    <t xml:space="preserve">Architect proposal</t>
  </si>
  <si>
    <t xml:space="preserve">NFR-01</t>
  </si>
  <si>
    <t xml:space="preserve">Correlation identifiers</t>
  </si>
  <si>
    <t xml:space="preserve">Thread id, interaction id, file collection id, NRS submission id and eDMS document references shall be propagated in every API header and event envelope and logged by HIP.</t>
  </si>
  <si>
    <t xml:space="preserve">J2 steps 7; J3 steps 13, 29</t>
  </si>
  <si>
    <t xml:space="preserve">Cross-cutting</t>
  </si>
  <si>
    <t xml:space="preserve">OI-07, OI-13</t>
  </si>
  <si>
    <t xml:space="preserve">NFR-02</t>
  </si>
  <si>
    <t xml:space="preserve">Contracts</t>
  </si>
  <si>
    <t xml:space="preserve">Every API shall have an OpenAPI contract and every event or command an AsyncAPI contract, versioned and owned, covering the attributes passed at each step.</t>
  </si>
  <si>
    <t xml:space="preserve">J1 design note (attributes)</t>
  </si>
  <si>
    <t xml:space="preserve">API Management; Event Management</t>
  </si>
  <si>
    <t xml:space="preserve">OI-07</t>
  </si>
  <si>
    <t xml:space="preserve">NFR-03</t>
  </si>
  <si>
    <t xml:space="preserve">Delivery semantics</t>
  </si>
  <si>
    <t xml:space="preserve">Events and commands shall be delivered at least once. Consumers (Thread Manager, front ends, File Transfer Manager) shall be idempotent on event id, with retry policy and dead-letter handling per queue.</t>
  </si>
  <si>
    <t xml:space="preserve">J2 steps 8; J3 steps 18, 25, 39</t>
  </si>
  <si>
    <t xml:space="preserve">NFR-04</t>
  </si>
  <si>
    <t xml:space="preserve">Service authentication and URL security</t>
  </si>
  <si>
    <t xml:space="preserve">Service-to-service authentication across MDTP, HCP, HIP, NRS and eDMS shall follow the external auth documentation. Pre-signed URLs shall be time-limited and scoped to one object.</t>
  </si>
  <si>
    <t xml:space="preserve">J1 steps 8, 9; J2 steps 6; J3 steps 16</t>
  </si>
  <si>
    <t xml:space="preserve">OI-02</t>
  </si>
  <si>
    <t xml:space="preserve">NFR-05</t>
  </si>
  <si>
    <t xml:space="preserve">Observability and audit</t>
  </si>
  <si>
    <t xml:space="preserve">Every state transition listed on the Storage and States sheet shall be traceable end to end from a single correlation id.</t>
  </si>
  <si>
    <t xml:space="preserve">J3 steps 7, 30, 42</t>
  </si>
  <si>
    <t xml:space="preserve">NFR-06</t>
  </si>
  <si>
    <t xml:space="preserve">File count and size limits</t>
  </si>
  <si>
    <t xml:space="preserve">File count and size limits validated by the front end (J1 step 23) shall match MFT limits, including the AV scan ceiling (tracked gap G-15, about 250 MB) and the multi-part threshold.</t>
  </si>
  <si>
    <t xml:space="preserve">J1 steps 23; J2 steps 6, 12</t>
  </si>
  <si>
    <t xml:space="preserve">SDEC front end</t>
  </si>
  <si>
    <t xml:space="preserve">Retention and orphan clean-up</t>
  </si>
  <si>
    <t xml:space="preserve">Retention rules shall cover orphaned threads (user leaves mid-journey), quarantined files, and staged files where a leg never completes.</t>
  </si>
  <si>
    <t xml:space="preserve">J1 design note (orphan); J2 steps 13; J3 steps 39</t>
  </si>
  <si>
    <t xml:space="preserve">OI-03, OI-23</t>
  </si>
  <si>
    <t xml:space="preserve">NFR-08</t>
  </si>
  <si>
    <t xml:space="preserve">Volumetrics</t>
  </si>
  <si>
    <t xml:space="preserve">SDEC shall publish projected transaction and attachment volumes and sizes for sizing of HIP, NRS and eDMS.</t>
  </si>
  <si>
    <t xml:space="preserve">HIP; NRS; eDMS</t>
  </si>
  <si>
    <t xml:space="preserve">Method / endpoint</t>
  </si>
  <si>
    <t xml:space="preserve">Consumer</t>
  </si>
  <si>
    <t xml:space="preserve">Provider</t>
  </si>
  <si>
    <t xml:space="preserve">Journey steps</t>
  </si>
  <si>
    <t xml:space="preserve">Via HIP</t>
  </si>
  <si>
    <t xml:space="preserve">In integration scope</t>
  </si>
  <si>
    <t xml:space="preserve">Notes</t>
  </si>
  <si>
    <t xml:space="preserve">API-01</t>
  </si>
  <si>
    <t xml:space="preserve">Thread Service API (create thread)</t>
  </si>
  <si>
    <t xml:space="preserve">POST Thread Service API</t>
  </si>
  <si>
    <t xml:space="preserve">Thread Manager (Thread Service)</t>
  </si>
  <si>
    <t xml:space="preserve">J1 9-12</t>
  </si>
  <si>
    <t xml:space="preserve">Endpoint to be confirmed for iPaaS and HCP teams</t>
  </si>
  <si>
    <t xml:space="preserve">API-02</t>
  </si>
  <si>
    <t xml:space="preserve">Thread Service API (save details)</t>
  </si>
  <si>
    <t xml:space="preserve">PUT Thread Service API</t>
  </si>
  <si>
    <t xml:space="preserve">J1 7, 21</t>
  </si>
  <si>
    <t xml:space="preserve">No</t>
  </si>
  <si>
    <t xml:space="preserve">No (front end)</t>
  </si>
  <si>
    <t xml:space="preserve">Cached at front end</t>
  </si>
  <si>
    <t xml:space="preserve">API-03</t>
  </si>
  <si>
    <t xml:space="preserve">Interaction API (save details)</t>
  </si>
  <si>
    <t xml:space="preserve">PUT Interaction API</t>
  </si>
  <si>
    <t xml:space="preserve">J1 33</t>
  </si>
  <si>
    <t xml:space="preserve">Check your answers loop</t>
  </si>
  <si>
    <t xml:space="preserve">API-04</t>
  </si>
  <si>
    <t xml:space="preserve">Submission Service API</t>
  </si>
  <si>
    <t xml:space="preserve">PUT Submission Service API</t>
  </si>
  <si>
    <t xml:space="preserve">Thread Manager (Submission Service)</t>
  </si>
  <si>
    <t xml:space="preserve">J1 40-44</t>
  </si>
  <si>
    <t xml:space="preserve">Handoff point to crystallisation</t>
  </si>
  <si>
    <t xml:space="preserve">API-05</t>
  </si>
  <si>
    <t xml:space="preserve">Document uploads</t>
  </si>
  <si>
    <t xml:space="preserve">POST /document_uploads</t>
  </si>
  <si>
    <t xml:space="preserve">Front-end Service (external)</t>
  </si>
  <si>
    <t xml:space="preserve">J2 3, 10</t>
  </si>
  <si>
    <t xml:space="preserve">Returns pre-signed URLs to browser</t>
  </si>
  <si>
    <t xml:space="preserve">API-06</t>
  </si>
  <si>
    <t xml:space="preserve">File Transfer API</t>
  </si>
  <si>
    <t xml:space="preserve">POST /file_uploads</t>
  </si>
  <si>
    <t xml:space="preserve">J2 5-7</t>
  </si>
  <si>
    <t xml:space="preserve">Yes</t>
  </si>
  <si>
    <t xml:space="preserve">Microservice listed as TBC - iPaaS / MFT</t>
  </si>
  <si>
    <t xml:space="preserve">API-07</t>
  </si>
  <si>
    <t xml:space="preserve">Pre-signed upload</t>
  </si>
  <si>
    <t xml:space="preserve">S3 PUT (pre-signed URL)</t>
  </si>
  <si>
    <t xml:space="preserve">J2 11</t>
  </si>
  <si>
    <t xml:space="preserve">Single or multi-part</t>
  </si>
  <si>
    <t xml:space="preserve">API-08</t>
  </si>
  <si>
    <t xml:space="preserve">AV scan</t>
  </si>
  <si>
    <t xml:space="preserve">J2 12</t>
  </si>
  <si>
    <t xml:space="preserve">Yes (HIP capability)</t>
  </si>
  <si>
    <t xml:space="preserve">AV ceiling G-15</t>
  </si>
  <si>
    <t xml:space="preserve">API-09</t>
  </si>
  <si>
    <t xml:space="preserve">Interaction submissions (front end)</t>
  </si>
  <si>
    <t xml:space="preserve">POST /interaction/submissions</t>
  </si>
  <si>
    <t xml:space="preserve">J3 3, 9</t>
  </si>
  <si>
    <t xml:space="preserve">Carries hash</t>
  </si>
  <si>
    <t xml:space="preserve">API-10</t>
  </si>
  <si>
    <t xml:space="preserve">Interaction submissions (Thread Manager)</t>
  </si>
  <si>
    <t xml:space="preserve">Thread Manager (Interaction and Document Service)</t>
  </si>
  <si>
    <t xml:space="preserve">J3 6-8</t>
  </si>
  <si>
    <t xml:space="preserve">Synchronous ack only</t>
  </si>
  <si>
    <t xml:space="preserve">API-11</t>
  </si>
  <si>
    <t xml:space="preserve">NRS Submission API</t>
  </si>
  <si>
    <t xml:space="preserve">Submission API</t>
  </si>
  <si>
    <t xml:space="preserve">Thread Manager</t>
  </si>
  <si>
    <t xml:space="preserve">NRS Submission service</t>
  </si>
  <si>
    <t xml:space="preserve">J3 11-13</t>
  </si>
  <si>
    <t xml:space="preserve">Yes (API Management)</t>
  </si>
  <si>
    <t xml:space="preserve">NRS to publish via iPaaS</t>
  </si>
  <si>
    <t xml:space="preserve">API-12</t>
  </si>
  <si>
    <t xml:space="preserve">NRS Attachment API</t>
  </si>
  <si>
    <t xml:space="preserve">Attachment API</t>
  </si>
  <si>
    <t xml:space="preserve">NRS Attachment Service</t>
  </si>
  <si>
    <t xml:space="preserve">J3 15-17</t>
  </si>
  <si>
    <t xml:space="preserve">Returns pre-signed URLs</t>
  </si>
  <si>
    <t xml:space="preserve">API-13</t>
  </si>
  <si>
    <t xml:space="preserve">NRS pre-signed upload</t>
  </si>
  <si>
    <t xml:space="preserve">S3 PUT (NRS pre-signed URL)</t>
  </si>
  <si>
    <t xml:space="preserve">J3 19-20</t>
  </si>
  <si>
    <t xml:space="preserve">Uses URLs from API-12</t>
  </si>
  <si>
    <t xml:space="preserve">API-14</t>
  </si>
  <si>
    <t xml:space="preserve">J3 26-28; J1 45</t>
  </si>
  <si>
    <t xml:space="preserve">Synchronous success / failure</t>
  </si>
  <si>
    <t xml:space="preserve">API-15</t>
  </si>
  <si>
    <t xml:space="preserve">Send notification</t>
  </si>
  <si>
    <t xml:space="preserve">TBC - 'Send notification'</t>
  </si>
  <si>
    <t xml:space="preserve">J3 33</t>
  </si>
  <si>
    <t xml:space="preserve">SMS Gateway sends email / SMS (J3 37-38)</t>
  </si>
  <si>
    <t xml:space="preserve">Event / command</t>
  </si>
  <si>
    <t xml:space="preserve">Kind</t>
  </si>
  <si>
    <t xml:space="preserve">Publisher</t>
  </si>
  <si>
    <t xml:space="preserve">Subscribers</t>
  </si>
  <si>
    <t xml:space="preserve">Channel</t>
  </si>
  <si>
    <t xml:space="preserve">Payload</t>
  </si>
  <si>
    <t xml:space="preserve">State change</t>
  </si>
  <si>
    <t xml:space="preserve">Event Management (TBC) or SDEC internal</t>
  </si>
  <si>
    <t xml:space="preserve">J2 8-9</t>
  </si>
  <si>
    <t xml:space="preserve">Thread / interaction state; document metadata</t>
  </si>
  <si>
    <t xml:space="preserve">Interaction: Document upload requested; SDEC Document records created</t>
  </si>
  <si>
    <t xml:space="preserve">Front-end Service (external); Thread Manager</t>
  </si>
  <si>
    <t xml:space="preserve">J2 14-17</t>
  </si>
  <si>
    <t xml:space="preserve">Document references / metadata; error details</t>
  </si>
  <si>
    <t xml:space="preserve">Session and interaction: Document upload failed</t>
  </si>
  <si>
    <t xml:space="preserve">Internal / support notification TBC</t>
  </si>
  <si>
    <t xml:space="preserve">J2 19-22</t>
  </si>
  <si>
    <t xml:space="preserve">Document references / metadata</t>
  </si>
  <si>
    <t xml:space="preserve">Session and interaction: Document upload succeeded</t>
  </si>
  <si>
    <t xml:space="preserve">request_file_transfer (NRS)</t>
  </si>
  <si>
    <t xml:space="preserve">Command</t>
  </si>
  <si>
    <t xml:space="preserve">J3 18</t>
  </si>
  <si>
    <t xml:space="preserve">Pre-signed URLs; file collection reference; target identifier(s); transaction context</t>
  </si>
  <si>
    <t xml:space="preserve">None (triggers MFT-09)</t>
  </si>
  <si>
    <t xml:space="preserve">J3 21-22</t>
  </si>
  <si>
    <t xml:space="preserve">Success (failure outcome TBC)</t>
  </si>
  <si>
    <t xml:space="preserve">Documents transferred to NRS</t>
  </si>
  <si>
    <t xml:space="preserve">Independent of eDMS</t>
  </si>
  <si>
    <t xml:space="preserve">attachments_accepted</t>
  </si>
  <si>
    <t xml:space="preserve">J3 A.1-A.2</t>
  </si>
  <si>
    <t xml:space="preserve">Attachment acceptance status</t>
  </si>
  <si>
    <t xml:space="preserve">NRS documents accepted</t>
  </si>
  <si>
    <t xml:space="preserve">NRS suggests polling; SDEC prefers event</t>
  </si>
  <si>
    <t xml:space="preserve">request_file_transfer (eDMS)</t>
  </si>
  <si>
    <t xml:space="preserve">J3 25; J1 45</t>
  </si>
  <si>
    <t xml:space="preserve">File collection reference; target identifier(s); transaction context</t>
  </si>
  <si>
    <t xml:space="preserve">None (triggers MFT-10)</t>
  </si>
  <si>
    <t xml:space="preserve">J3 29-30</t>
  </si>
  <si>
    <t xml:space="preserve">Success; eDMS document references (failure outcome TBC)</t>
  </si>
  <si>
    <t xml:space="preserve">Submission completed</t>
  </si>
  <si>
    <t xml:space="preserve">Not dependent on NRS</t>
  </si>
  <si>
    <t xml:space="preserve">Front-end Service (external); Front-end Service (internal)</t>
  </si>
  <si>
    <t xml:space="preserve">J3 31-32</t>
  </si>
  <si>
    <t xml:space="preserve">Interaction status: submitted</t>
  </si>
  <si>
    <t xml:space="preserve">None (drives user notifications)</t>
  </si>
  <si>
    <t xml:space="preserve">File Transfer Manager request queue</t>
  </si>
  <si>
    <t xml:space="preserve">J3 39</t>
  </si>
  <si>
    <t xml:space="preserve">File collection id</t>
  </si>
  <si>
    <t xml:space="preserve">None (triggers MFT-12)</t>
  </si>
  <si>
    <t xml:space="preserve">Gated on EVT-06 and EVT-08</t>
  </si>
  <si>
    <t xml:space="preserve">J3 41-42</t>
  </si>
  <si>
    <t xml:space="preserve">Document: staged files deleted</t>
  </si>
  <si>
    <t xml:space="preserve">Search service (iPaaS); email service; outlook service (internal)</t>
  </si>
  <si>
    <t xml:space="preserve">J1 note</t>
  </si>
  <si>
    <t xml:space="preserve">Replaces confirmation screen</t>
  </si>
  <si>
    <t xml:space="preserve">file_transfer_failed / file_deletion_failed (proposed)</t>
  </si>
  <si>
    <t xml:space="preserve">J3 21, 29, 41</t>
  </si>
  <si>
    <t xml:space="preserve">Error details (TBC)</t>
  </si>
  <si>
    <t xml:space="preserve">Not in source design</t>
  </si>
  <si>
    <t xml:space="preserve">Store</t>
  </si>
  <si>
    <t xml:space="preserve">Purpose</t>
  </si>
  <si>
    <t xml:space="preserve">Retention</t>
  </si>
  <si>
    <t xml:space="preserve">Landing bucket (AWS S3)</t>
  </si>
  <si>
    <t xml:space="preserve">Receives browser uploads via pre-signed URLs</t>
  </si>
  <si>
    <t xml:space="preserve">Until scanned</t>
  </si>
  <si>
    <t xml:space="preserve">Quarantine bucket (AWS S3)</t>
  </si>
  <si>
    <t xml:space="preserve">J2 13</t>
  </si>
  <si>
    <t xml:space="preserve">Infected or invalid files</t>
  </si>
  <si>
    <t xml:space="preserve">TBC (NFR-07)</t>
  </si>
  <si>
    <t xml:space="preserve">Clean staging bucket (AWS S3)</t>
  </si>
  <si>
    <t xml:space="preserve">J2 18; J3 19, 26, 40</t>
  </si>
  <si>
    <t xml:space="preserve">Source for NRS and eDMS transfers</t>
  </si>
  <si>
    <t xml:space="preserve">Until J3 step 40 deletion</t>
  </si>
  <si>
    <t xml:space="preserve">NRS transient storage (AWS S3)</t>
  </si>
  <si>
    <t xml:space="preserve">J3 12, 20</t>
  </si>
  <si>
    <t xml:space="preserve">Submission payload and attachments before signing</t>
  </si>
  <si>
    <t xml:space="preserve">NRS owned</t>
  </si>
  <si>
    <t xml:space="preserve">NRS evidential storage</t>
  </si>
  <si>
    <t xml:space="preserve">J3 24</t>
  </si>
  <si>
    <t xml:space="preserve">Signed payload and attachments</t>
  </si>
  <si>
    <t xml:space="preserve">eDMS document store</t>
  </si>
  <si>
    <t xml:space="preserve">J3 27; J1 45</t>
  </si>
  <si>
    <t xml:space="preserve">Records of submitted and thread documents</t>
  </si>
  <si>
    <t xml:space="preserve">eDMS owned</t>
  </si>
  <si>
    <t xml:space="preserve">SDEC_Thread_Interaction</t>
  </si>
  <si>
    <t xml:space="preserve">J2 9, 17, 22; J3 7</t>
  </si>
  <si>
    <t xml:space="preserve">Thread interaction status</t>
  </si>
  <si>
    <t xml:space="preserve">SDEC owned</t>
  </si>
  <si>
    <t xml:space="preserve">SDEC_Interaction</t>
  </si>
  <si>
    <t xml:space="preserve">J3 14, 22, A.2, 30</t>
  </si>
  <si>
    <t xml:space="preserve">Interaction state, NRS submission id (name differs from SDEC_Thread_Interaction)</t>
  </si>
  <si>
    <t xml:space="preserve">SDEC_Document</t>
  </si>
  <si>
    <t xml:space="preserve">J2 9, 17, 22; J3 7, 22, A.2, 30, 42</t>
  </si>
  <si>
    <t xml:space="preserve">Document records and status</t>
  </si>
  <si>
    <t xml:space="preserve">Session state</t>
  </si>
  <si>
    <t xml:space="preserve">J2 4, 15, 20</t>
  </si>
  <si>
    <t xml:space="preserve">Upload session status</t>
  </si>
  <si>
    <t xml:space="preserve">Session</t>
  </si>
  <si>
    <t xml:space="preserve">Thread details cache</t>
  </si>
  <si>
    <t xml:space="preserve">J1 8, 22, 34</t>
  </si>
  <si>
    <t xml:space="preserve">Draft thread details before submission</t>
  </si>
  <si>
    <t xml:space="preserve">Thread record</t>
  </si>
  <si>
    <t xml:space="preserve">J1 9-11, 42</t>
  </si>
  <si>
    <t xml:space="preserve">Thread entity, technical and business references</t>
  </si>
  <si>
    <t xml:space="preserve">Status values set along the journeys</t>
  </si>
  <si>
    <t xml:space="preserve">Entity</t>
  </si>
  <si>
    <t xml:space="preserve">Set by</t>
  </si>
  <si>
    <t xml:space="preserve">Thread</t>
  </si>
  <si>
    <t xml:space="preserve">Pending thread created</t>
  </si>
  <si>
    <t xml:space="preserve">J1 11</t>
  </si>
  <si>
    <t xml:space="preserve">Draft thread becomes pending</t>
  </si>
  <si>
    <t xml:space="preserve">Thread details updated</t>
  </si>
  <si>
    <t xml:space="preserve">J1 42</t>
  </si>
  <si>
    <t xml:space="preserve">State name after submission TBC (OI-08)</t>
  </si>
  <si>
    <t xml:space="preserve">Upload in progress / Document upload requested</t>
  </si>
  <si>
    <t xml:space="preserve">J2 4</t>
  </si>
  <si>
    <t xml:space="preserve">Interaction / document</t>
  </si>
  <si>
    <t xml:space="preserve">Document upload requested</t>
  </si>
  <si>
    <t xml:space="preserve">J2 9</t>
  </si>
  <si>
    <t xml:space="preserve">SDEC Document records created</t>
  </si>
  <si>
    <t xml:space="preserve">Session / interaction / document</t>
  </si>
  <si>
    <t xml:space="preserve">Document upload failed</t>
  </si>
  <si>
    <t xml:space="preserve">J2 15, 17</t>
  </si>
  <si>
    <t xml:space="preserve">Front end; Thread Manager</t>
  </si>
  <si>
    <t xml:space="preserve">Error details kept</t>
  </si>
  <si>
    <t xml:space="preserve">Document upload succeeded</t>
  </si>
  <si>
    <t xml:space="preserve">J2 20, 22</t>
  </si>
  <si>
    <t xml:space="preserve">Document references kept</t>
  </si>
  <si>
    <t xml:space="preserve">Submission requested</t>
  </si>
  <si>
    <t xml:space="preserve">J3 7</t>
  </si>
  <si>
    <t xml:space="preserve">Signed hash stored</t>
  </si>
  <si>
    <t xml:space="preserve">Interaction</t>
  </si>
  <si>
    <t xml:space="preserve">NRS submission id recorded</t>
  </si>
  <si>
    <t xml:space="preserve">J3 14</t>
  </si>
  <si>
    <t xml:space="preserve">J3 22</t>
  </si>
  <si>
    <t xml:space="preserve">J3 A.2</t>
  </si>
  <si>
    <t xml:space="preserve">Needed for clean-up gate</t>
  </si>
  <si>
    <t xml:space="preserve">J3 30</t>
  </si>
  <si>
    <t xml:space="preserve">Document</t>
  </si>
  <si>
    <t xml:space="preserve">Staged files deleted</t>
  </si>
  <si>
    <t xml:space="preserve">J3 42</t>
  </si>
  <si>
    <t xml:space="preserve">End state</t>
  </si>
  <si>
    <t xml:space="preserve">Step</t>
  </si>
  <si>
    <t xml:space="preserve">Phase</t>
  </si>
  <si>
    <t xml:space="preserve">Description</t>
  </si>
  <si>
    <t xml:space="preserve">Target</t>
  </si>
  <si>
    <t xml:space="preserve">Type</t>
  </si>
  <si>
    <t xml:space="preserve">API / endpoint</t>
  </si>
  <si>
    <t xml:space="preserve">Data persistence</t>
  </si>
  <si>
    <t xml:space="preserve">Microservice</t>
  </si>
  <si>
    <t xml:space="preserve">Requirement IDs</t>
  </si>
  <si>
    <t xml:space="preserve">Workspace</t>
  </si>
  <si>
    <t xml:space="preserve">Internal user selects Create Thread</t>
  </si>
  <si>
    <t xml:space="preserve">Browser</t>
  </si>
  <si>
    <t xml:space="preserve">User action</t>
  </si>
  <si>
    <t xml:space="preserve">N/A</t>
  </si>
  <si>
    <t xml:space="preserve">None</t>
  </si>
  <si>
    <t xml:space="preserve">Browser retrieves Contact Detail page</t>
  </si>
  <si>
    <t xml:space="preserve">HTTP</t>
  </si>
  <si>
    <t xml:space="preserve">Page request</t>
  </si>
  <si>
    <t xml:space="preserve">Contact Detail page returned</t>
  </si>
  <si>
    <t xml:space="preserve">Response to 2</t>
  </si>
  <si>
    <t xml:space="preserve">Page</t>
  </si>
  <si>
    <t xml:space="preserve">Contact Detail page displayed</t>
  </si>
  <si>
    <t xml:space="preserve">UI</t>
  </si>
  <si>
    <t xml:space="preserve">Contact details</t>
  </si>
  <si>
    <t xml:space="preserve">Internal user enters contact details (first name, last name, email address, mobile number, NINO)</t>
  </si>
  <si>
    <t xml:space="preserve">6</t>
  </si>
  <si>
    <t xml:space="preserve">Internal user selects Continue</t>
  </si>
  <si>
    <t xml:space="preserve">7</t>
  </si>
  <si>
    <t xml:space="preserve">Save contact detail request</t>
  </si>
  <si>
    <t xml:space="preserve">REST</t>
  </si>
  <si>
    <t xml:space="preserve">8</t>
  </si>
  <si>
    <t xml:space="preserve">Persist contact details (note: add API calls under steps 8 and 9 aligned with external auth documentation)</t>
  </si>
  <si>
    <t xml:space="preserve">Thread details (front end)</t>
  </si>
  <si>
    <t xml:space="preserve">9</t>
  </si>
  <si>
    <t xml:space="preserve">Create thread request: creates thread entity record (thread in collection)</t>
  </si>
  <si>
    <t xml:space="preserve">Contact details, thread draft</t>
  </si>
  <si>
    <t xml:space="preserve">Thread Service</t>
  </si>
  <si>
    <t xml:space="preserve">INT-01, NFR-04</t>
  </si>
  <si>
    <t xml:space="preserve">10</t>
  </si>
  <si>
    <t xml:space="preserve">Generate thread reference, technical and business facing, at the same time</t>
  </si>
  <si>
    <t xml:space="preserve">Thread reference (technical, business)</t>
  </si>
  <si>
    <t xml:space="preserve">11</t>
  </si>
  <si>
    <t xml:space="preserve">Update state: Pending thread created (draft thread moves to pending status)</t>
  </si>
  <si>
    <t xml:space="preserve">Thread state</t>
  </si>
  <si>
    <t xml:space="preserve">12</t>
  </si>
  <si>
    <t xml:space="preserve">Thread created response (thread reference not passed back here; only at confirmation)</t>
  </si>
  <si>
    <t xml:space="preserve">Response to 9</t>
  </si>
  <si>
    <t xml:space="preserve">Thread created ack</t>
  </si>
  <si>
    <t xml:space="preserve">15</t>
  </si>
  <si>
    <t xml:space="preserve">Send / Request File page returned</t>
  </si>
  <si>
    <t xml:space="preserve">Response to 7</t>
  </si>
  <si>
    <t xml:space="preserve">16</t>
  </si>
  <si>
    <t xml:space="preserve">Send / Request File page displayed</t>
  </si>
  <si>
    <t xml:space="preserve">17</t>
  </si>
  <si>
    <t xml:space="preserve">Send / request file</t>
  </si>
  <si>
    <t xml:space="preserve">Internal user enters thread details: message title, message body</t>
  </si>
  <si>
    <t xml:space="preserve">Message title, message body</t>
  </si>
  <si>
    <t xml:space="preserve">Loop</t>
  </si>
  <si>
    <t xml:space="preserve">For each uploaded file: refer to separate File Upload sequence (file stored in S3)</t>
  </si>
  <si>
    <t xml:space="preserve">File Upload sequence (TBC)</t>
  </si>
  <si>
    <t xml:space="preserve">Document, metadata</t>
  </si>
  <si>
    <t xml:space="preserve">S3 (TBC)</t>
  </si>
  <si>
    <t xml:space="preserve">20</t>
  </si>
  <si>
    <t xml:space="preserve">Thread details</t>
  </si>
  <si>
    <t xml:space="preserve">21</t>
  </si>
  <si>
    <t xml:space="preserve">Save thread detail request</t>
  </si>
  <si>
    <t xml:space="preserve">22</t>
  </si>
  <si>
    <t xml:space="preserve">Thread details cached</t>
  </si>
  <si>
    <t xml:space="preserve">23</t>
  </si>
  <si>
    <t xml:space="preserve">Track number of files and file size validation</t>
  </si>
  <si>
    <t xml:space="preserve">File count, file sizes</t>
  </si>
  <si>
    <t xml:space="preserve">MFT-14, NFR-06</t>
  </si>
  <si>
    <t xml:space="preserve">24</t>
  </si>
  <si>
    <t xml:space="preserve">Check Answers page returned</t>
  </si>
  <si>
    <t xml:space="preserve">Response to 21</t>
  </si>
  <si>
    <t xml:space="preserve">Name, email, address, mobile, NINO, message title, message, uploaded files, response deadline</t>
  </si>
  <si>
    <t xml:space="preserve">27</t>
  </si>
  <si>
    <t xml:space="preserve">Check Answers page displayed</t>
  </si>
  <si>
    <t xml:space="preserve">28</t>
  </si>
  <si>
    <t xml:space="preserve">Check your answers (loop until confirmed)</t>
  </si>
  <si>
    <t xml:space="preserve">Internal user selects a Change link</t>
  </si>
  <si>
    <t xml:space="preserve">29</t>
  </si>
  <si>
    <t xml:space="preserve">Retrieve selected page</t>
  </si>
  <si>
    <t xml:space="preserve">30</t>
  </si>
  <si>
    <t xml:space="preserve">Selected page returned</t>
  </si>
  <si>
    <t xml:space="preserve">Response to 29</t>
  </si>
  <si>
    <t xml:space="preserve">31</t>
  </si>
  <si>
    <t xml:space="preserve">Selected page displayed</t>
  </si>
  <si>
    <t xml:space="preserve">32</t>
  </si>
  <si>
    <t xml:space="preserve">Internal user updates thread details</t>
  </si>
  <si>
    <t xml:space="preserve">33</t>
  </si>
  <si>
    <t xml:space="preserve">34</t>
  </si>
  <si>
    <t xml:space="preserve">35</t>
  </si>
  <si>
    <t xml:space="preserve">Thread details saved response</t>
  </si>
  <si>
    <t xml:space="preserve">Response to 33</t>
  </si>
  <si>
    <t xml:space="preserve">Ack</t>
  </si>
  <si>
    <t xml:space="preserve">36</t>
  </si>
  <si>
    <t xml:space="preserve">Check Answers screen displayed</t>
  </si>
  <si>
    <t xml:space="preserve">39</t>
  </si>
  <si>
    <t xml:space="preserve">Submit thread</t>
  </si>
  <si>
    <t xml:space="preserve">Internal user selects Confirm and Send</t>
  </si>
  <si>
    <t xml:space="preserve">40</t>
  </si>
  <si>
    <t xml:space="preserve">Submit thread request</t>
  </si>
  <si>
    <t xml:space="preserve">41</t>
  </si>
  <si>
    <t xml:space="preserve">Submission Service</t>
  </si>
  <si>
    <t xml:space="preserve">42</t>
  </si>
  <si>
    <t xml:space="preserve">Update thread (thread details)</t>
  </si>
  <si>
    <t xml:space="preserve">43</t>
  </si>
  <si>
    <t xml:space="preserve">Thread submission response</t>
  </si>
  <si>
    <t xml:space="preserve">Response to 41</t>
  </si>
  <si>
    <t xml:space="preserve">Submission response</t>
  </si>
  <si>
    <t xml:space="preserve">44</t>
  </si>
  <si>
    <t xml:space="preserve">Response to 40</t>
  </si>
  <si>
    <t xml:space="preserve">45</t>
  </si>
  <si>
    <t xml:space="preserve">Initiate file transfer to eDMS (handoff; state of thread after step 42 to be defined)</t>
  </si>
  <si>
    <t xml:space="preserve">Async (TBC)</t>
  </si>
  <si>
    <t xml:space="preserve">Thread attachments, metadata</t>
  </si>
  <si>
    <t xml:space="preserve">File Transfer Manager (assumed)</t>
  </si>
  <si>
    <t xml:space="preserve">INT-03, MFT-10, EVT-07</t>
  </si>
  <si>
    <t xml:space="preserve">49</t>
  </si>
  <si>
    <t xml:space="preserve">Confirmation screen displayed (note: may be removed; thread reference shown here)</t>
  </si>
  <si>
    <t xml:space="preserve">Thread reference, recipient name, message title, message, response deadline, attached files</t>
  </si>
  <si>
    <t xml:space="preserve">Upload request</t>
  </si>
  <si>
    <t xml:space="preserve">External user selects files to upload</t>
  </si>
  <si>
    <t xml:space="preserve">External user / browser</t>
  </si>
  <si>
    <t xml:space="preserve">User device</t>
  </si>
  <si>
    <t xml:space="preserve">?</t>
  </si>
  <si>
    <t xml:space="preserve">User device returns document list and metadata</t>
  </si>
  <si>
    <t xml:space="preserve">Document metadata: file names, types, sizes</t>
  </si>
  <si>
    <t xml:space="preserve">User requests document upload</t>
  </si>
  <si>
    <t xml:space="preserve">Front-end Service (external) updates session state (Upload in progress)</t>
  </si>
  <si>
    <t xml:space="preserve">Thread / interaction state 'Document upload requested'</t>
  </si>
  <si>
    <t xml:space="preserve">Front-end service calls File Transfer API to request document upload</t>
  </si>
  <si>
    <t xml:space="preserve">Document metadata; thread / interaction metadata ids</t>
  </si>
  <si>
    <t xml:space="preserve">TBC - iPaaS / MFT</t>
  </si>
  <si>
    <t xml:space="preserve">INT-04, MFT-01</t>
  </si>
  <si>
    <t xml:space="preserve">File Transfer Manager determines upload strategy (single / multi-part) and generates pre-signed URLs</t>
  </si>
  <si>
    <t xml:space="preserve">Document metadata</t>
  </si>
  <si>
    <t xml:space="preserve">MFT-02, NFR-04, NFR-06</t>
  </si>
  <si>
    <t xml:space="preserve">File Transfer Manager returns pre-signed URLs</t>
  </si>
  <si>
    <t xml:space="preserve">Response to 5</t>
  </si>
  <si>
    <t xml:space="preserve">File collection id; pre-signed URLs</t>
  </si>
  <si>
    <t xml:space="preserve">INT-04, MFT-01, MFT-13, NFR-01</t>
  </si>
  <si>
    <t xml:space="preserve">Front-end Service (external) publishes a document_upload_requested event</t>
  </si>
  <si>
    <t xml:space="preserve">Front-end Service (external) event publisher</t>
  </si>
  <si>
    <t xml:space="preserve">Thread / interaction state 'Document upload requested'; document metadata</t>
  </si>
  <si>
    <t xml:space="preserve">EVT-01, NFR-03</t>
  </si>
  <si>
    <t xml:space="preserve">Thread Manager updates the Thread Interaction status and creates SDEC Document records</t>
  </si>
  <si>
    <t xml:space="preserve">SDEC_Thread_Interaction, SDEC_Document</t>
  </si>
  <si>
    <t xml:space="preserve">Interaction Service; Document Service / Document Metadata Service</t>
  </si>
  <si>
    <t xml:space="preserve">INT-14, EVT-01</t>
  </si>
  <si>
    <t xml:space="preserve">Front-end Service (external) returns pre-signed URLs to the browser</t>
  </si>
  <si>
    <t xml:space="preserve">Response to 3</t>
  </si>
  <si>
    <t xml:space="preserve">Pre-signed URLs</t>
  </si>
  <si>
    <t xml:space="preserve">Upload</t>
  </si>
  <si>
    <t xml:space="preserve">Browser uploads documents via the pre-signed URLs</t>
  </si>
  <si>
    <t xml:space="preserve">AWS S3</t>
  </si>
  <si>
    <t xml:space="preserve">Documents</t>
  </si>
  <si>
    <t xml:space="preserve">File Transfer Manager validates / scans documents</t>
  </si>
  <si>
    <t xml:space="preserve">N/A - HIP / iPaaS capability</t>
  </si>
  <si>
    <t xml:space="preserve">MFT-04, NFR-06</t>
  </si>
  <si>
    <t xml:space="preserve">13</t>
  </si>
  <si>
    <t xml:space="preserve">Error: AV / validation failure</t>
  </si>
  <si>
    <t xml:space="preserve">Malware detected: File Transfer Manager moves infected document(s) to quarantine</t>
  </si>
  <si>
    <t xml:space="preserve">MFT-05, NFR-07</t>
  </si>
  <si>
    <t xml:space="preserve">14</t>
  </si>
  <si>
    <t xml:space="preserve">File Transfer Manager publishes a file_upload_failed event (open: any internal user / support notification here?)</t>
  </si>
  <si>
    <t xml:space="preserve">Front-end Service (external) event subscriber; Thread Manager event subscriber</t>
  </si>
  <si>
    <t xml:space="preserve">MFT-07, EVT-02</t>
  </si>
  <si>
    <t xml:space="preserve">Front-end Service (external) updates session state with failure details</t>
  </si>
  <si>
    <t xml:space="preserve">Thread / interaction state 'Document upload failed'; error details</t>
  </si>
  <si>
    <t xml:space="preserve">Front-end Service (external) event subscriber</t>
  </si>
  <si>
    <t xml:space="preserve">Front-end Service (external) notifies external user of failure</t>
  </si>
  <si>
    <t xml:space="preserve">Push notification</t>
  </si>
  <si>
    <t xml:space="preserve">Error details</t>
  </si>
  <si>
    <t xml:space="preserve">Thread Manager updates interaction and document state with failure details</t>
  </si>
  <si>
    <t xml:space="preserve">Thread / interaction state 'Document upload failed'; failure details</t>
  </si>
  <si>
    <t xml:space="preserve">18</t>
  </si>
  <si>
    <t xml:space="preserve">Success</t>
  </si>
  <si>
    <t xml:space="preserve">Documents valid / clean: File Transfer Manager moves documents to clean staging</t>
  </si>
  <si>
    <t xml:space="preserve">19</t>
  </si>
  <si>
    <t xml:space="preserve">File Transfer Manager publishes a file_upload_succeeded event</t>
  </si>
  <si>
    <t xml:space="preserve">MFT-07, EVT-03</t>
  </si>
  <si>
    <t xml:space="preserve">Front-end Service (external) updates session state on successful upload</t>
  </si>
  <si>
    <t xml:space="preserve">Thread / interaction state 'Document upload succeeded'</t>
  </si>
  <si>
    <t xml:space="preserve">Front-end Service (external) notifies external user of upload success</t>
  </si>
  <si>
    <t xml:space="preserve">Upload success message</t>
  </si>
  <si>
    <t xml:space="preserve">Thread Manager updates interaction and document state on upload success</t>
  </si>
  <si>
    <t xml:space="preserve">Thread / interaction state 'Document upload succeeded'; document references</t>
  </si>
  <si>
    <t xml:space="preserve">Submission</t>
  </si>
  <si>
    <t xml:space="preserve">External user clicks submit on their browser</t>
  </si>
  <si>
    <t xml:space="preserve">Browser creates a hash (SHA-256 TBC) of the web form content (signed TBC)</t>
  </si>
  <si>
    <t xml:space="preserve">Browser function</t>
  </si>
  <si>
    <t xml:space="preserve">Submission content</t>
  </si>
  <si>
    <t xml:space="preserve">Browser submits interaction response to Front-end Service (external)</t>
  </si>
  <si>
    <t xml:space="preserve">Submission content, hash</t>
  </si>
  <si>
    <t xml:space="preserve">Front-end Service (external) validates submission content / hash</t>
  </si>
  <si>
    <t xml:space="preserve">Front-end Service (external) signs hash (if not signed in step 3)</t>
  </si>
  <si>
    <t xml:space="preserve">Signed hash</t>
  </si>
  <si>
    <t xml:space="preserve">Front-end Service calls Thread Manager API to initiate submission / crystallisation processing</t>
  </si>
  <si>
    <t xml:space="preserve">Submission content, signed hash</t>
  </si>
  <si>
    <t xml:space="preserve">Interaction Service; Document Service</t>
  </si>
  <si>
    <t xml:space="preserve">Thread Manager updates interaction state (submission requested)</t>
  </si>
  <si>
    <t xml:space="preserve">Submission content, signed hash, interaction status, document status</t>
  </si>
  <si>
    <t xml:space="preserve">INT-05, NFR-05</t>
  </si>
  <si>
    <t xml:space="preserve">Thread Manager returns a synchronous acknowledgement</t>
  </si>
  <si>
    <t xml:space="preserve">REST response</t>
  </si>
  <si>
    <t xml:space="preserve">Response to 6</t>
  </si>
  <si>
    <t xml:space="preserve">Submission confirmation</t>
  </si>
  <si>
    <t xml:space="preserve">Front-end Service returns a synchronous response to the user's browser</t>
  </si>
  <si>
    <t xml:space="preserve">Browser confirms submission to the user</t>
  </si>
  <si>
    <t xml:space="preserve">User notification</t>
  </si>
  <si>
    <t xml:space="preserve">Response to 1</t>
  </si>
  <si>
    <t xml:space="preserve">NRS submission (parallel, non-blocking)</t>
  </si>
  <si>
    <t xml:space="preserve">Thread Manager calls the NRS Submission API with details of the interaction submission and document references</t>
  </si>
  <si>
    <t xml:space="preserve">NRS Submission API (via HIP API Management)</t>
  </si>
  <si>
    <t xml:space="preserve">Signed interaction payload; document (attachment) metadata / references</t>
  </si>
  <si>
    <t xml:space="preserve">INT-06, INT-07, INT-13, INT-14</t>
  </si>
  <si>
    <t xml:space="preserve">NRS Submission service persists the interaction payload to NRS transient storage</t>
  </si>
  <si>
    <t xml:space="preserve">Response to 11</t>
  </si>
  <si>
    <t xml:space="preserve">NRS Submission API returns a submission id to Thread Manager</t>
  </si>
  <si>
    <t xml:space="preserve">NRS submission id</t>
  </si>
  <si>
    <t xml:space="preserve">Interaction Service</t>
  </si>
  <si>
    <t xml:space="preserve">INT-07, NFR-01</t>
  </si>
  <si>
    <t xml:space="preserve">Thread Manager updates interaction state and stores the NRS submission id</t>
  </si>
  <si>
    <t xml:space="preserve">NRS submission id; interaction state</t>
  </si>
  <si>
    <t xml:space="preserve">Thread Manager calls the NRS Attachment API (alternative: File Transfer Manager orchestrates URL request; suggested approach keeps URL control with the process orchestrator)</t>
  </si>
  <si>
    <t xml:space="preserve">NRS Attachment API (via HIP API Management)</t>
  </si>
  <si>
    <t xml:space="preserve">NRS submission id; document metadata</t>
  </si>
  <si>
    <t xml:space="preserve">NRS Attachment Service generates pre-signed URLs (alternative: Submission API returns the URLs in step 13)</t>
  </si>
  <si>
    <t xml:space="preserve">INT-08, NFR-04</t>
  </si>
  <si>
    <t xml:space="preserve">NRS Attachment Service returns pre-signed URLs to Thread Manager</t>
  </si>
  <si>
    <t xml:space="preserve">Response to 15</t>
  </si>
  <si>
    <t xml:space="preserve">Thread Manager sends an asynchronous Request File Transfer message to File Transfer Manager to transfer documents to NRS, passing the pre-signed URLs</t>
  </si>
  <si>
    <t xml:space="preserve">Async</t>
  </si>
  <si>
    <t xml:space="preserve">Pre-signed URLs; file collection reference; target identifier(s); transaction context (thread / interaction metadata)</t>
  </si>
  <si>
    <t xml:space="preserve">MFT-08, MFT-13, EVT-04, NFR-03</t>
  </si>
  <si>
    <t xml:space="preserve">File Transfer Manager uses the pre-signed URLs to upload files to NRS transient storage</t>
  </si>
  <si>
    <t xml:space="preserve">MFT-06, MFT-09</t>
  </si>
  <si>
    <t xml:space="preserve">NRS stores documents in transient storage and performs validation checks</t>
  </si>
  <si>
    <t xml:space="preserve">AWS S3; NRS Attachment Service</t>
  </si>
  <si>
    <t xml:space="preserve">File Transfer Manager publishes a file_transfer_succeeded event informing Thread Manager that transfer to NRS is complete (or has failed)</t>
  </si>
  <si>
    <t xml:space="preserve">Thread Manager event subscriber</t>
  </si>
  <si>
    <t xml:space="preserve">MFT-11, EVT-05, EVT-13</t>
  </si>
  <si>
    <t xml:space="preserve">Thread Manager updates interaction and document status with an NRS transfer completed status (independent of eDMS transfer status)</t>
  </si>
  <si>
    <t xml:space="preserve">Transfer success status</t>
  </si>
  <si>
    <t xml:space="preserve">SDEC_Interaction, SDEC_Document</t>
  </si>
  <si>
    <t xml:space="preserve">INT-13, EVT-05</t>
  </si>
  <si>
    <t xml:space="preserve">A.1</t>
  </si>
  <si>
    <t xml:space="preserve">NRS publishes an attachments_accepted event</t>
  </si>
  <si>
    <t xml:space="preserve">A.2</t>
  </si>
  <si>
    <t xml:space="preserve">Thread Manager updates interaction and document status with an NRS attachments accepted status</t>
  </si>
  <si>
    <t xml:space="preserve">NRS acceptance status</t>
  </si>
  <si>
    <t xml:space="preserve">NRS signs payload and attachments (sequence diagram only)</t>
  </si>
  <si>
    <t xml:space="preserve">Payload, attachments</t>
  </si>
  <si>
    <t xml:space="preserve">NRS stores signed payload / attachments in NRS evidential storage (sequence diagram only)</t>
  </si>
  <si>
    <t xml:space="preserve">Signed payload, attachments</t>
  </si>
  <si>
    <t xml:space="preserve">25</t>
  </si>
  <si>
    <t xml:space="preserve">eDMS ingestion (parallel)</t>
  </si>
  <si>
    <t xml:space="preserve">Thread Manager sends an asynchronous Request File Transfer message to File Transfer Manager to transfer documents to eDMS</t>
  </si>
  <si>
    <t xml:space="preserve">File collection reference; target identifier(s); transaction context (thread / interaction metadata)</t>
  </si>
  <si>
    <t xml:space="preserve">INT-03, INT-13, MFT-08, MFT-13, EVT-07, NFR-03</t>
  </si>
  <si>
    <t xml:space="preserve">26</t>
  </si>
  <si>
    <t xml:space="preserve">File Transfer Manager sends documents to eDMS</t>
  </si>
  <si>
    <t xml:space="preserve">Documents; document metadata; transaction context</t>
  </si>
  <si>
    <t xml:space="preserve">eDMS (internal structure not described)</t>
  </si>
  <si>
    <t xml:space="preserve">INT-03, INT-11, INT-14, MFT-06, MFT-10</t>
  </si>
  <si>
    <t xml:space="preserve">eDMS validates and stores documents (low level detail not shown)</t>
  </si>
  <si>
    <t xml:space="preserve">eDMS responds to File Transfer Manager (success or failure of transfer)</t>
  </si>
  <si>
    <t xml:space="preserve">Response to 26 (source table says 25)</t>
  </si>
  <si>
    <t xml:space="preserve">Success / failure</t>
  </si>
  <si>
    <t xml:space="preserve">INT-11, MFT-10</t>
  </si>
  <si>
    <t xml:space="preserve">File Transfer Manager publishes a file_transfer_succeeded event informing Thread Manager that ingestion to eDMS is complete (or has failed)</t>
  </si>
  <si>
    <t xml:space="preserve">Success; eDMS document references</t>
  </si>
  <si>
    <t xml:space="preserve">INT-03, MFT-11, EVT-08, EVT-13, NFR-01</t>
  </si>
  <si>
    <t xml:space="preserve">Thread Manager updates thread and document status with Submission Completed (not dependent on NRS submission succeeding)</t>
  </si>
  <si>
    <t xml:space="preserve">Transfer success status; eDMS document</t>
  </si>
  <si>
    <t xml:space="preserve">INT-13, EVT-08, NFR-05</t>
  </si>
  <si>
    <t xml:space="preserve">Thread Manager publishes a Submission completed event; Front-end Service (external) subscribes</t>
  </si>
  <si>
    <t xml:space="preserve">Front-end service (external) event subscriber</t>
  </si>
  <si>
    <t xml:space="preserve">Submission completed event; Front-end Service (internal) subscribes</t>
  </si>
  <si>
    <t xml:space="preserve">Front-end service (internal) event subscriber</t>
  </si>
  <si>
    <t xml:space="preserve">Thread Manager calls the Communication Service to trigger email / SMS notifications to external and internal users</t>
  </si>
  <si>
    <t xml:space="preserve">Notification content</t>
  </si>
  <si>
    <t xml:space="preserve">Communication Service (internal structure not described)</t>
  </si>
  <si>
    <t xml:space="preserve">Front-end Service (external) sends a submission completed notification to the external user's browser</t>
  </si>
  <si>
    <t xml:space="preserve">Notification</t>
  </si>
  <si>
    <t xml:space="preserve">Front-end service (external)</t>
  </si>
  <si>
    <t xml:space="preserve">Browser notifies the external user that their submission has completed</t>
  </si>
  <si>
    <t xml:space="preserve">Front-end Service (internal) notifies the internal user (thread owner) that the external user has submitted a response</t>
  </si>
  <si>
    <t xml:space="preserve">37</t>
  </si>
  <si>
    <t xml:space="preserve">SMS Gateway sends an email and / or SMS to the external user notifying them that their submission has completed</t>
  </si>
  <si>
    <t xml:space="preserve">SMS Gateway</t>
  </si>
  <si>
    <t xml:space="preserve">Email / SMS</t>
  </si>
  <si>
    <t xml:space="preserve">User's email service</t>
  </si>
  <si>
    <t xml:space="preserve">38</t>
  </si>
  <si>
    <t xml:space="preserve">SMS Gateway sends an email to the internal user notifying them that the external user has submitted a response</t>
  </si>
  <si>
    <t xml:space="preserve">Email</t>
  </si>
  <si>
    <t xml:space="preserve">Internal email service</t>
  </si>
  <si>
    <t xml:space="preserve">Clean-up (after eDMS ingestion and NRS acceptance)</t>
  </si>
  <si>
    <t xml:space="preserve">Thread Manager sends a delete_staged_files request to File Transfer Manager</t>
  </si>
  <si>
    <t xml:space="preserve">iPaaS / MFT</t>
  </si>
  <si>
    <t xml:space="preserve">MFT-08, MFT-12, MFT-13, EVT-10, NFR-03, NFR-07</t>
  </si>
  <si>
    <t xml:space="preserve">File Transfer Manager deletes staged files</t>
  </si>
  <si>
    <t xml:space="preserve">iPaaS / MFT; AWS S3</t>
  </si>
  <si>
    <t xml:space="preserve">File Transfer Manager publishes a file_deletion_succeeded event</t>
  </si>
  <si>
    <t xml:space="preserve">MFT-12, MFT-13, EVT-11, EVT-13</t>
  </si>
  <si>
    <t xml:space="preserve">Thread Manager updates document statuses to reflect deletion of staged files</t>
  </si>
  <si>
    <t xml:space="preserve">Document status</t>
  </si>
  <si>
    <t xml:space="preserve">Document Service</t>
  </si>
  <si>
    <t xml:space="preserve">EVT-11, NFR-05</t>
  </si>
  <si>
    <t xml:space="preserve">Item</t>
  </si>
  <si>
    <t xml:space="preserve">Owner role</t>
  </si>
  <si>
    <t xml:space="preserve">Related</t>
  </si>
  <si>
    <t xml:space="preserve">Decision</t>
  </si>
  <si>
    <t xml:space="preserve">Date</t>
  </si>
  <si>
    <t xml:space="preserve">OI-01</t>
  </si>
  <si>
    <t xml:space="preserve">Technical versus business-facing thread reference. Note proposes generating both at step 10; the reference is returned only at confirmation (not steps 13-14).</t>
  </si>
  <si>
    <t xml:space="preserve">J1 notes</t>
  </si>
  <si>
    <t xml:space="preserve">SDEC solution architect</t>
  </si>
  <si>
    <t xml:space="preserve">Proposed decision</t>
  </si>
  <si>
    <t xml:space="preserve">Add API calls under steps 8 and 9 and align with external auth documentation; add generic pass and response call.</t>
  </si>
  <si>
    <t xml:space="preserve">SDEC MDTP tech lead</t>
  </si>
  <si>
    <t xml:space="preserve">OI-03</t>
  </si>
  <si>
    <t xml:space="preserve">Orphaned threads when the user leaves the page: database-level clean-up microservice or retention policy change.</t>
  </si>
  <si>
    <t xml:space="preserve">SDEC HCP tech lead</t>
  </si>
  <si>
    <t xml:space="preserve">File upload process for Create Thread needs more discussion; separate File Upload sequence not yet provided. Confirm it reuses the J2 pattern.</t>
  </si>
  <si>
    <t xml:space="preserve">HIP MFT lead with SDEC solution architect</t>
  </si>
  <si>
    <t xml:space="preserve">OI-05</t>
  </si>
  <si>
    <t xml:space="preserve">Correct endpoints for the iPaaS team and HCP team (steps 40-41).</t>
  </si>
  <si>
    <t xml:space="preserve">HIP integration architect</t>
  </si>
  <si>
    <t xml:space="preserve">OI-06</t>
  </si>
  <si>
    <t xml:space="preserve">When recipient information is stored in HCP: at step 9 or after step 42.</t>
  </si>
  <si>
    <t xml:space="preserve">Attributes passed between each sequence step (data contract per interaction).</t>
  </si>
  <si>
    <t xml:space="preserve">SDEC solution architect with HIP integration architect</t>
  </si>
  <si>
    <t xml:space="preserve">Thread state after step 42 before the eDMS transfer at step 45.</t>
  </si>
  <si>
    <t xml:space="preserve">Confirmation screen marked for removal; add thread confirmation event that calls search, email and outlook services.</t>
  </si>
  <si>
    <t xml:space="preserve">SDEC product owner</t>
  </si>
  <si>
    <t xml:space="preserve">Internal user or support notification on upload failure.</t>
  </si>
  <si>
    <t xml:space="preserve">J2 diagram note</t>
  </si>
  <si>
    <t xml:space="preserve">EVT-02, MFT-07</t>
  </si>
  <si>
    <t xml:space="preserve">OI-11</t>
  </si>
  <si>
    <t xml:space="preserve">Steps 1-2 interaction type shown as '?'. Confirm these are browser-local with no integration.</t>
  </si>
  <si>
    <t xml:space="preserve">J2 table</t>
  </si>
  <si>
    <t xml:space="preserve">Is NRS dependent on a successful eDMS transfer? Avoid if possible; requires consistent document ids and browser hash / signing.</t>
  </si>
  <si>
    <t xml:space="preserve">J3 diagram note</t>
  </si>
  <si>
    <t xml:space="preserve">NRS service owner with SDEC solution architect</t>
  </si>
  <si>
    <t xml:space="preserve">INT-07, INT-13</t>
  </si>
  <si>
    <t xml:space="preserve">Do we need end-to-end document ids, or can the submission id be used?</t>
  </si>
  <si>
    <t xml:space="preserve">INT-14, MFT-13</t>
  </si>
  <si>
    <t xml:space="preserve">Hash algorithm (SHA-256 TBC) and where signing happens: browser or Front-end Service (external).</t>
  </si>
  <si>
    <t xml:space="preserve">J3 table</t>
  </si>
  <si>
    <t xml:space="preserve">Security architect</t>
  </si>
  <si>
    <t xml:space="preserve">Who obtains NRS pre-signed URLs: Thread Manager (suggested), File Transfer Manager, or Submission API returning them at step 13.</t>
  </si>
  <si>
    <t xml:space="preserve">HIP integration architect with NRS service owner</t>
  </si>
  <si>
    <t xml:space="preserve">INT-08, MFT-09</t>
  </si>
  <si>
    <t xml:space="preserve">NRS acceptance notification: asynchronous event (SDEC preference) or polling (NRS suggestion).</t>
  </si>
  <si>
    <t xml:space="preserve">Requirements for NRS</t>
  </si>
  <si>
    <t xml:space="preserve">NRS service owner</t>
  </si>
  <si>
    <t xml:space="preserve">Communication Service endpoint ('Send notification') and response status handling, covered in the communication design.</t>
  </si>
  <si>
    <t xml:space="preserve">J3 table and note</t>
  </si>
  <si>
    <t xml:space="preserve">Communication Service owner</t>
  </si>
  <si>
    <t xml:space="preserve">Failure paths for NRS and eDMS transfers are described as 'or has failed etc' only. Define failure events, retries and Thread Manager states.</t>
  </si>
  <si>
    <t xml:space="preserve">MFT-11, EVT-13</t>
  </si>
  <si>
    <t xml:space="preserve">Do SDEC MDTP to HCP calls (Thread Service, Submission Service, /interaction/submissions) route through HIP API Management or go direct?</t>
  </si>
  <si>
    <t xml:space="preserve">Architect review</t>
  </si>
  <si>
    <t xml:space="preserve">INT-01, INT-02, INT-05</t>
  </si>
  <si>
    <t xml:space="preserve">Which events and commands use HIP Event Management versus an SDEC internal channel (for example document_upload_requested, submission_completed).</t>
  </si>
  <si>
    <t xml:space="preserve">EVT-01, EVT-09, MFT-08</t>
  </si>
  <si>
    <t xml:space="preserve">Maximum file size and count versus AV scan ceiling (tracked gap G-15, about 250 MB) and multi-part threshold.</t>
  </si>
  <si>
    <t xml:space="preserve">HIP MFT lead</t>
  </si>
  <si>
    <t xml:space="preserve">MFT-02, MFT-04, NFR-06</t>
  </si>
  <si>
    <t xml:space="preserve">Microservice for steps 5-6 shown as 'TBC - iPaaS / MFT'. Confirm HIP owns the File Transfer API.</t>
  </si>
  <si>
    <t xml:space="preserve">MFT-01, INT-04</t>
  </si>
  <si>
    <t xml:space="preserve">Clean-up gate: what happens to staged files if NRS acceptance or eDMS ingestion never completes.</t>
  </si>
  <si>
    <t xml:space="preserve">HIP MFT lead with SDEC HCP tech lead</t>
  </si>
  <si>
    <t xml:space="preserve">EVT-10, MFT-12, NFR-07</t>
  </si>
  <si>
    <t xml:space="preserve">OI-24</t>
  </si>
  <si>
    <t xml:space="preserve">Source inconsistencies: table names SDEC_Interaction and SDEC_Thread_Interaction both used; step 28 marked 'Response to 25' (should be 26); steps 23-24 only on the diagram.</t>
  </si>
  <si>
    <t xml:space="preserve">Code</t>
  </si>
  <si>
    <t xml:space="preserve">Coverage</t>
  </si>
  <si>
    <t xml:space="preserve">Create Threads - DRAFT: sequence diagram (Draft) Create Thread - V4</t>
  </si>
  <si>
    <t xml:space="preserve">29 Sep 2026</t>
  </si>
  <si>
    <t xml:space="preserve">Steps 1-49 (gaps in numbering), notes and assumptions</t>
  </si>
  <si>
    <t xml:space="preserve">External User Document Upload - DRAFT: sequence diagram and interaction table</t>
  </si>
  <si>
    <t xml:space="preserve">Undated draft</t>
  </si>
  <si>
    <t xml:space="preserve">Steps 1-22 incl. error and success branches</t>
  </si>
  <si>
    <t xml:space="preserve">(Draft) E2E Crystallisation flow: sequence diagram and interaction table</t>
  </si>
  <si>
    <t xml:space="preserve">18 Sep 2026</t>
  </si>
  <si>
    <t xml:space="preserve">Steps 1-42 plus A.1, A.2; Requirements for NRS</t>
  </si>
  <si>
    <t xml:space="preserve">(Draft) NRS integration detail: HIP component view of J3 steps 11-24</t>
  </si>
  <si>
    <t xml:space="preserve">Shows HIP API Management, Event Management and File Transfer Manager in every NRS interaction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</si>
</sst>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38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E2A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E2A3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A38"/>
        <bgColor rgb="FF333300"/>
      </patternFill>
    </fill>
    <fill>
      <patternFill patternType="solid">
        <fgColor rgb="FFDCEAF6"/>
        <bgColor rgb="FFE9E4F5"/>
      </patternFill>
    </fill>
    <fill>
      <patternFill patternType="solid">
        <fgColor rgb="FFFFF7CC"/>
        <bgColor rgb="FFFCE8D8"/>
      </patternFill>
    </fill>
    <fill>
      <patternFill patternType="solid">
        <fgColor rgb="FFFCE8D8"/>
        <bgColor rgb="FFFDE7D3"/>
      </patternFill>
    </fill>
    <fill>
      <patternFill patternType="solid">
        <fgColor rgb="FFFDE7D3"/>
        <bgColor rgb="FFFCE8D8"/>
      </patternFill>
    </fill>
    <fill>
      <patternFill patternType="solid">
        <fgColor rgb="FFE9E4F5"/>
        <bgColor rgb="FFDC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E2A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AF6"/>
          <bgColor rgb="FF000000"/>
        </patternFill>
      </fill>
    </dxf>
    <dxf>
      <fill>
        <patternFill patternType="solid">
          <fgColor rgb="FFE9E4F5"/>
          <bgColor rgb="FF000000"/>
        </patternFill>
      </fill>
    </dxf>
    <dxf>
      <fill>
        <patternFill patternType="solid">
          <fgColor rgb="FFFCE8D8"/>
          <bgColor rgb="FF000000"/>
        </patternFill>
      </fill>
    </dxf>
    <dxf>
      <fill>
        <patternFill patternType="solid">
          <fgColor rgb="FFFDE7D3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CEAF6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4F5"/>
      <rgbColor rgb="FFCCFFCC"/>
      <rgbColor rgb="FFFDE7D3"/>
      <rgbColor rgb="FF99CCFF"/>
      <rgbColor rgb="FFFF99CC"/>
      <rgbColor rgb="FFCC99FF"/>
      <rgbColor rgb="FFFCE8D8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23.85" hidden="false" customHeight="false" outlineLevel="0" collapsed="false">
      <c r="A7" s="4" t="s">
        <v>6</v>
      </c>
      <c r="B7" s="5" t="s">
        <v>7</v>
      </c>
    </row>
    <row r="8" customFormat="false" ht="23.85" hidden="false" customHeight="false" outlineLevel="0" collapsed="false">
      <c r="A8" s="4" t="s">
        <v>8</v>
      </c>
      <c r="B8" s="5" t="s">
        <v>9</v>
      </c>
    </row>
    <row r="9" customFormat="false" ht="23.8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15" hidden="false" customHeight="false" outlineLevel="0" collapsed="false">
      <c r="A15" s="4" t="s">
        <v>19</v>
      </c>
      <c r="B15" s="5" t="s">
        <v>20</v>
      </c>
    </row>
    <row r="16" customFormat="false" ht="15" hidden="false" customHeight="false" outlineLevel="0" collapsed="false">
      <c r="A16" s="4" t="s">
        <v>21</v>
      </c>
      <c r="B16" s="5" t="s">
        <v>22</v>
      </c>
    </row>
    <row r="17" customFormat="false" ht="15" hidden="false" customHeight="false" outlineLevel="0" collapsed="false">
      <c r="A17" s="4" t="s">
        <v>23</v>
      </c>
      <c r="B17" s="5" t="s">
        <v>24</v>
      </c>
    </row>
    <row r="18" customFormat="false" ht="15" hidden="false" customHeight="false" outlineLevel="0" collapsed="false">
      <c r="A18" s="4" t="s">
        <v>25</v>
      </c>
      <c r="B18" s="5" t="s">
        <v>26</v>
      </c>
    </row>
    <row r="19" customFormat="false" ht="15" hidden="false" customHeight="false" outlineLevel="0" collapsed="false">
      <c r="A19" s="4" t="s">
        <v>27</v>
      </c>
      <c r="B19" s="5" t="s">
        <v>28</v>
      </c>
    </row>
    <row r="20" customFormat="false" ht="15" hidden="false" customHeight="false" outlineLevel="0" collapsed="false">
      <c r="A20" s="4" t="s">
        <v>29</v>
      </c>
      <c r="B20" s="5" t="s">
        <v>30</v>
      </c>
    </row>
    <row r="21" customFormat="false" ht="15" hidden="false" customHeight="false" outlineLevel="0" collapsed="false">
      <c r="A21" s="4" t="s">
        <v>31</v>
      </c>
      <c r="B21" s="5" t="s">
        <v>32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3" t="s">
        <v>33</v>
      </c>
    </row>
    <row r="24" customFormat="false" ht="23.85" hidden="false" customHeight="false" outlineLevel="0" collapsed="false">
      <c r="A24" s="4" t="s">
        <v>34</v>
      </c>
      <c r="B24" s="5" t="s">
        <v>35</v>
      </c>
    </row>
    <row r="25" customFormat="false" ht="15" hidden="false" customHeight="false" outlineLevel="0" collapsed="false">
      <c r="A25" s="4" t="s">
        <v>36</v>
      </c>
      <c r="B25" s="5" t="s">
        <v>37</v>
      </c>
    </row>
    <row r="26" customFormat="false" ht="23.85" hidden="false" customHeight="false" outlineLevel="0" collapsed="false">
      <c r="A26" s="4" t="s">
        <v>38</v>
      </c>
      <c r="B26" s="5" t="s">
        <v>39</v>
      </c>
    </row>
    <row r="27" customFormat="false" ht="15" hidden="false" customHeight="false" outlineLevel="0" collapsed="false">
      <c r="A27" s="4" t="s">
        <v>40</v>
      </c>
      <c r="B27" s="5" t="s">
        <v>41</v>
      </c>
    </row>
    <row r="28" customFormat="false" ht="23.85" hidden="false" customHeight="false" outlineLevel="0" collapsed="false">
      <c r="A28" s="4" t="s">
        <v>42</v>
      </c>
      <c r="B28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6" t="s">
        <v>44</v>
      </c>
    </row>
    <row r="3" customFormat="false" ht="23.85" hidden="false" customHeight="false" outlineLevel="0" collapsed="false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</row>
    <row r="4" customFormat="false" ht="15" hidden="false" customHeight="false" outlineLevel="0" collapsed="false">
      <c r="A4" s="8" t="s">
        <v>53</v>
      </c>
      <c r="B4" s="8" t="n">
        <f aca="false">COUNTIFS(Requirements!$B$2:$B$50,$A4,Requirements!$L$2:$L$50,B$3)</f>
        <v>10</v>
      </c>
      <c r="C4" s="8" t="n">
        <f aca="false">COUNTIFS(Requirements!$B$2:$B$50,$A4,Requirements!$L$2:$L$50,C$3)</f>
        <v>1</v>
      </c>
      <c r="D4" s="8" t="n">
        <f aca="false">COUNTIFS(Requirements!$B$2:$B$50,$A4,Requirements!$L$2:$L$50,D$3)</f>
        <v>2</v>
      </c>
      <c r="E4" s="8" t="n">
        <f aca="false">COUNTIFS(Requirements!$B$2:$B$50,$A4,Requirements!$L$2:$L$50,E$3)</f>
        <v>1</v>
      </c>
      <c r="F4" s="8" t="n">
        <f aca="false">COUNTIFS(Requirements!$B$2:$B$50,$A4,Requirements!$L$2:$L$50,F$3)</f>
        <v>0</v>
      </c>
      <c r="G4" s="8" t="n">
        <f aca="false">COUNTIFS(Requirements!$B$2:$B$50,$A4,Requirements!$L$2:$L$50,G$3)</f>
        <v>0</v>
      </c>
      <c r="H4" s="8" t="n">
        <f aca="false">SUM(B4:G4)</f>
        <v>14</v>
      </c>
    </row>
    <row r="5" customFormat="false" ht="15" hidden="false" customHeight="false" outlineLevel="0" collapsed="false">
      <c r="A5" s="8" t="s">
        <v>54</v>
      </c>
      <c r="B5" s="8" t="n">
        <f aca="false">COUNTIFS(Requirements!$B$2:$B$50,$A5,Requirements!$L$2:$L$50,B$3)</f>
        <v>13</v>
      </c>
      <c r="C5" s="8" t="n">
        <f aca="false">COUNTIFS(Requirements!$B$2:$B$50,$A5,Requirements!$L$2:$L$50,C$3)</f>
        <v>0</v>
      </c>
      <c r="D5" s="8" t="n">
        <f aca="false">COUNTIFS(Requirements!$B$2:$B$50,$A5,Requirements!$L$2:$L$50,D$3)</f>
        <v>0</v>
      </c>
      <c r="E5" s="8" t="n">
        <f aca="false">COUNTIFS(Requirements!$B$2:$B$50,$A5,Requirements!$L$2:$L$50,E$3)</f>
        <v>0</v>
      </c>
      <c r="F5" s="8" t="n">
        <f aca="false">COUNTIFS(Requirements!$B$2:$B$50,$A5,Requirements!$L$2:$L$50,F$3)</f>
        <v>1</v>
      </c>
      <c r="G5" s="8" t="n">
        <f aca="false">COUNTIFS(Requirements!$B$2:$B$50,$A5,Requirements!$L$2:$L$50,G$3)</f>
        <v>0</v>
      </c>
      <c r="H5" s="8" t="n">
        <f aca="false">SUM(B5:G5)</f>
        <v>14</v>
      </c>
    </row>
    <row r="6" customFormat="false" ht="15" hidden="false" customHeight="false" outlineLevel="0" collapsed="false">
      <c r="A6" s="8" t="s">
        <v>55</v>
      </c>
      <c r="B6" s="8" t="n">
        <f aca="false">COUNTIFS(Requirements!$B$2:$B$50,$A6,Requirements!$L$2:$L$50,B$3)</f>
        <v>10</v>
      </c>
      <c r="C6" s="8" t="n">
        <f aca="false">COUNTIFS(Requirements!$B$2:$B$50,$A6,Requirements!$L$2:$L$50,C$3)</f>
        <v>0</v>
      </c>
      <c r="D6" s="8" t="n">
        <f aca="false">COUNTIFS(Requirements!$B$2:$B$50,$A6,Requirements!$L$2:$L$50,D$3)</f>
        <v>0</v>
      </c>
      <c r="E6" s="8" t="n">
        <f aca="false">COUNTIFS(Requirements!$B$2:$B$50,$A6,Requirements!$L$2:$L$50,E$3)</f>
        <v>1</v>
      </c>
      <c r="F6" s="8" t="n">
        <f aca="false">COUNTIFS(Requirements!$B$2:$B$50,$A6,Requirements!$L$2:$L$50,F$3)</f>
        <v>0</v>
      </c>
      <c r="G6" s="8" t="n">
        <f aca="false">COUNTIFS(Requirements!$B$2:$B$50,$A6,Requirements!$L$2:$L$50,G$3)</f>
        <v>2</v>
      </c>
      <c r="H6" s="8" t="n">
        <f aca="false">SUM(B6:G6)</f>
        <v>13</v>
      </c>
    </row>
    <row r="7" customFormat="false" ht="15" hidden="false" customHeight="false" outlineLevel="0" collapsed="false">
      <c r="A7" s="8" t="s">
        <v>56</v>
      </c>
      <c r="B7" s="8" t="n">
        <f aca="false">COUNTIFS(Requirements!$B$2:$B$50,$A7,Requirements!$L$2:$L$50,B$3)</f>
        <v>0</v>
      </c>
      <c r="C7" s="8" t="n">
        <f aca="false">COUNTIFS(Requirements!$B$2:$B$50,$A7,Requirements!$L$2:$L$50,C$3)</f>
        <v>0</v>
      </c>
      <c r="D7" s="8" t="n">
        <f aca="false">COUNTIFS(Requirements!$B$2:$B$50,$A7,Requirements!$L$2:$L$50,D$3)</f>
        <v>0</v>
      </c>
      <c r="E7" s="8" t="n">
        <f aca="false">COUNTIFS(Requirements!$B$2:$B$50,$A7,Requirements!$L$2:$L$50,E$3)</f>
        <v>0</v>
      </c>
      <c r="F7" s="8" t="n">
        <f aca="false">COUNTIFS(Requirements!$B$2:$B$50,$A7,Requirements!$L$2:$L$50,F$3)</f>
        <v>0</v>
      </c>
      <c r="G7" s="8" t="n">
        <f aca="false">COUNTIFS(Requirements!$B$2:$B$50,$A7,Requirements!$L$2:$L$50,G$3)</f>
        <v>8</v>
      </c>
      <c r="H7" s="8" t="n">
        <f aca="false">SUM(B7:G7)</f>
        <v>8</v>
      </c>
    </row>
    <row r="8" customFormat="false" ht="15" hidden="false" customHeight="false" outlineLevel="0" collapsed="false">
      <c r="A8" s="9" t="s">
        <v>52</v>
      </c>
      <c r="B8" s="9" t="n">
        <f aca="false">SUM(B4:B7)</f>
        <v>33</v>
      </c>
      <c r="C8" s="9" t="n">
        <f aca="false">SUM(C4:C7)</f>
        <v>1</v>
      </c>
      <c r="D8" s="9" t="n">
        <f aca="false">SUM(D4:D7)</f>
        <v>2</v>
      </c>
      <c r="E8" s="9" t="n">
        <f aca="false">SUM(E4:E7)</f>
        <v>2</v>
      </c>
      <c r="F8" s="9" t="n">
        <f aca="false">SUM(F4:F7)</f>
        <v>1</v>
      </c>
      <c r="G8" s="9" t="n">
        <f aca="false">SUM(G4:G7)</f>
        <v>10</v>
      </c>
      <c r="H8" s="9" t="n">
        <f aca="false">SUM(H4:H7)</f>
        <v>49</v>
      </c>
    </row>
    <row r="9" customFormat="false" ht="15" hidden="false" customHeight="false" outlineLevel="0" collapsed="false">
      <c r="A9" s="10" t="s">
        <v>57</v>
      </c>
      <c r="H9" s="11" t="str">
        <f aca="false">IF(H8=COUNTA(Requirements!$A$2:$A$50),"OK","Mismatch")</f>
        <v>OK</v>
      </c>
    </row>
    <row r="11" customFormat="false" ht="16.15" hidden="false" customHeight="false" outlineLevel="0" collapsed="false">
      <c r="A11" s="6" t="s">
        <v>58</v>
      </c>
    </row>
    <row r="12" customFormat="false" ht="15" hidden="false" customHeight="false" outlineLevel="0" collapsed="false">
      <c r="A12" s="12" t="s">
        <v>59</v>
      </c>
      <c r="B12" s="12" t="s">
        <v>19</v>
      </c>
      <c r="C12" s="12" t="s">
        <v>60</v>
      </c>
    </row>
    <row r="13" customFormat="false" ht="15" hidden="false" customHeight="false" outlineLevel="0" collapsed="false">
      <c r="A13" s="8" t="s">
        <v>61</v>
      </c>
      <c r="B13" s="8" t="n">
        <f aca="false">COUNTIFS(Requirements!$J$2:$J$50,"*NRS*")</f>
        <v>13</v>
      </c>
      <c r="C13" s="8" t="n">
        <f aca="false">COUNTIFS(Requirements!$J$2:$J$50,"*NRS*",Requirements!$K$2:$K$50,"Must")</f>
        <v>13</v>
      </c>
    </row>
    <row r="14" customFormat="false" ht="15" hidden="false" customHeight="false" outlineLevel="0" collapsed="false">
      <c r="A14" s="8" t="s">
        <v>62</v>
      </c>
      <c r="B14" s="8" t="n">
        <f aca="false">COUNTIFS(Requirements!$J$2:$J$50,"*eDMS*")</f>
        <v>9</v>
      </c>
      <c r="C14" s="8" t="n">
        <f aca="false">COUNTIFS(Requirements!$J$2:$J$50,"*eDMS*",Requirements!$K$2:$K$50,"Must")</f>
        <v>9</v>
      </c>
    </row>
    <row r="15" customFormat="false" ht="15" hidden="false" customHeight="false" outlineLevel="0" collapsed="false">
      <c r="A15" s="8" t="s">
        <v>63</v>
      </c>
      <c r="B15" s="8" t="n">
        <f aca="false">COUNTIFS(Requirements!$J$2:$J$50,"*HIP*")</f>
        <v>16</v>
      </c>
      <c r="C15" s="8" t="n">
        <f aca="false">COUNTIFS(Requirements!$J$2:$J$50,"*HIP*",Requirements!$K$2:$K$50,"Must")</f>
        <v>16</v>
      </c>
    </row>
    <row r="16" customFormat="false" ht="15" hidden="false" customHeight="false" outlineLevel="0" collapsed="false">
      <c r="A16" s="8" t="s">
        <v>64</v>
      </c>
      <c r="B16" s="8" t="n">
        <f aca="false">COUNTIFS(Requirements!$J$2:$J$50,"*SDEC HCP*")</f>
        <v>4</v>
      </c>
      <c r="C16" s="8" t="n">
        <f aca="false">COUNTIFS(Requirements!$J$2:$J$50,"*SDEC HCP*",Requirements!$K$2:$K$50,"Must")</f>
        <v>4</v>
      </c>
    </row>
    <row r="17" customFormat="false" ht="15" hidden="false" customHeight="false" outlineLevel="0" collapsed="false">
      <c r="A17" s="8" t="s">
        <v>65</v>
      </c>
      <c r="B17" s="8" t="n">
        <f aca="false">COUNTIFS(Requirements!$J$2:$J$50,"SDEC")</f>
        <v>3</v>
      </c>
      <c r="C17" s="8" t="n">
        <f aca="false">COUNTIFS(Requirements!$J$2:$J$50,"SDEC",Requirements!$K$2:$K$50,"Must")</f>
        <v>3</v>
      </c>
    </row>
    <row r="18" customFormat="false" ht="15" hidden="false" customHeight="false" outlineLevel="0" collapsed="false">
      <c r="A18" s="8" t="s">
        <v>66</v>
      </c>
      <c r="B18" s="8" t="n">
        <f aca="false">COUNTIFS(Requirements!$J$2:$J$50,"*Communication Service*")</f>
        <v>2</v>
      </c>
      <c r="C18" s="8" t="n">
        <f aca="false">COUNTIFS(Requirements!$J$2:$J$50,"*Communication Service*",Requirements!$K$2:$K$50,"Must")</f>
        <v>1</v>
      </c>
    </row>
    <row r="19" customFormat="false" ht="15" hidden="false" customHeight="false" outlineLevel="0" collapsed="false">
      <c r="A19" s="8" t="s">
        <v>67</v>
      </c>
      <c r="B19" s="8" t="n">
        <f aca="false">COUNTIFS(Requirements!$J$2:$J$50,"All")</f>
        <v>7</v>
      </c>
      <c r="C19" s="8" t="n">
        <f aca="false">COUNTIFS(Requirements!$J$2:$J$50,"All",Requirements!$K$2:$K$50,"Must")</f>
        <v>7</v>
      </c>
    </row>
    <row r="20" customFormat="false" ht="15" hidden="false" customHeight="false" outlineLevel="0" collapsed="false">
      <c r="A20" s="10" t="s">
        <v>68</v>
      </c>
    </row>
    <row r="23" customFormat="false" ht="16.15" hidden="false" customHeight="false" outlineLevel="0" collapsed="false">
      <c r="A23" s="6" t="s">
        <v>69</v>
      </c>
    </row>
    <row r="24" customFormat="false" ht="15" hidden="false" customHeight="false" outlineLevel="0" collapsed="false">
      <c r="A24" s="12" t="s">
        <v>70</v>
      </c>
      <c r="B24" s="12" t="s">
        <v>49</v>
      </c>
      <c r="C24" s="12" t="s">
        <v>71</v>
      </c>
    </row>
    <row r="25" customFormat="false" ht="15" hidden="false" customHeight="false" outlineLevel="0" collapsed="false">
      <c r="A25" s="8" t="s">
        <v>72</v>
      </c>
      <c r="B25" s="8" t="n">
        <f aca="false">COUNTIFS('Open Items'!$B$2:$B$25,$A25,'Open Items'!$G$2:$G$25,"Open")</f>
        <v>7</v>
      </c>
      <c r="C25" s="8" t="n">
        <f aca="false">COUNTIFS('Open Items'!$B$2:$B$25,$A25)</f>
        <v>8</v>
      </c>
    </row>
    <row r="26" customFormat="false" ht="15" hidden="false" customHeight="false" outlineLevel="0" collapsed="false">
      <c r="A26" s="8" t="s">
        <v>73</v>
      </c>
      <c r="B26" s="8" t="n">
        <f aca="false">COUNTIFS('Open Items'!$B$2:$B$25,$A26,'Open Items'!$G$2:$G$25,"Open")</f>
        <v>3</v>
      </c>
      <c r="C26" s="8" t="n">
        <f aca="false">COUNTIFS('Open Items'!$B$2:$B$25,$A26)</f>
        <v>3</v>
      </c>
    </row>
    <row r="27" customFormat="false" ht="15" hidden="false" customHeight="false" outlineLevel="0" collapsed="false">
      <c r="A27" s="8" t="s">
        <v>74</v>
      </c>
      <c r="B27" s="8" t="n">
        <f aca="false">COUNTIFS('Open Items'!$B$2:$B$25,$A27,'Open Items'!$G$2:$G$25,"Open")</f>
        <v>9</v>
      </c>
      <c r="C27" s="8" t="n">
        <f aca="false">COUNTIFS('Open Items'!$B$2:$B$25,$A27)</f>
        <v>9</v>
      </c>
    </row>
    <row r="28" customFormat="false" ht="15" hidden="false" customHeight="false" outlineLevel="0" collapsed="false">
      <c r="A28" s="8" t="s">
        <v>67</v>
      </c>
      <c r="B28" s="8" t="n">
        <f aca="false">COUNTIFS('Open Items'!$B$2:$B$25,$A28,'Open Items'!$G$2:$G$25,"Open")</f>
        <v>4</v>
      </c>
      <c r="C28" s="8" t="n">
        <f aca="false">COUNTIFS('Open Items'!$B$2:$B$25,$A28)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7" min="6" style="0" width="44"/>
    <col collapsed="false" customWidth="true" hidden="false" outlineLevel="0" max="8" min="8" style="0" width="3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7" t="s">
        <v>70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  <c r="I1" s="7" t="s">
        <v>82</v>
      </c>
    </row>
    <row r="2" customFormat="false" ht="35.05" hidden="false" customHeight="false" outlineLevel="0" collapsed="false">
      <c r="A2" s="13" t="s">
        <v>72</v>
      </c>
      <c r="B2" s="13" t="s">
        <v>83</v>
      </c>
      <c r="C2" s="13" t="s">
        <v>84</v>
      </c>
      <c r="D2" s="13" t="s">
        <v>85</v>
      </c>
      <c r="E2" s="13" t="s">
        <v>86</v>
      </c>
      <c r="F2" s="13" t="s">
        <v>87</v>
      </c>
      <c r="G2" s="13" t="s">
        <v>88</v>
      </c>
      <c r="H2" s="13" t="s">
        <v>89</v>
      </c>
      <c r="I2" s="13" t="s">
        <v>72</v>
      </c>
    </row>
    <row r="3" customFormat="false" ht="46.25" hidden="false" customHeight="false" outlineLevel="0" collapsed="false">
      <c r="A3" s="13" t="s">
        <v>73</v>
      </c>
      <c r="B3" s="13" t="s">
        <v>90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73</v>
      </c>
    </row>
    <row r="4" customFormat="false" ht="46.25" hidden="false" customHeight="false" outlineLevel="0" collapsed="false">
      <c r="A4" s="13" t="s">
        <v>74</v>
      </c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103</v>
      </c>
      <c r="I4" s="13" t="s">
        <v>104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26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4" min="12" style="0" width="16"/>
    <col collapsed="false" customWidth="true" hidden="false" outlineLevel="0" max="15" min="15" style="0" width="18"/>
    <col collapsed="false" customWidth="true" hidden="false" outlineLevel="0" max="16" min="16" style="0" width="30"/>
  </cols>
  <sheetData>
    <row r="1" customFormat="false" ht="30" hidden="false" customHeight="true" outlineLevel="0" collapsed="false">
      <c r="A1" s="7" t="s">
        <v>105</v>
      </c>
      <c r="B1" s="7" t="s">
        <v>45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59</v>
      </c>
      <c r="K1" s="7" t="s">
        <v>113</v>
      </c>
      <c r="L1" s="7" t="s">
        <v>114</v>
      </c>
      <c r="M1" s="7" t="s">
        <v>115</v>
      </c>
      <c r="N1" s="7" t="s">
        <v>36</v>
      </c>
      <c r="O1" s="7" t="s">
        <v>116</v>
      </c>
      <c r="P1" s="7" t="s">
        <v>117</v>
      </c>
    </row>
    <row r="2" customFormat="false" ht="57.45" hidden="false" customHeight="false" outlineLevel="0" collapsed="false">
      <c r="A2" s="13" t="s">
        <v>118</v>
      </c>
      <c r="B2" s="14" t="s">
        <v>53</v>
      </c>
      <c r="C2" s="13" t="s">
        <v>119</v>
      </c>
      <c r="D2" s="13" t="s">
        <v>120</v>
      </c>
      <c r="E2" s="13" t="s">
        <v>121</v>
      </c>
      <c r="F2" s="13" t="s">
        <v>122</v>
      </c>
      <c r="G2" s="13" t="s">
        <v>123</v>
      </c>
      <c r="H2" s="13" t="s">
        <v>124</v>
      </c>
      <c r="I2" s="13" t="s">
        <v>125</v>
      </c>
      <c r="J2" s="13" t="s">
        <v>64</v>
      </c>
      <c r="K2" s="13" t="s">
        <v>60</v>
      </c>
      <c r="L2" s="13" t="s">
        <v>46</v>
      </c>
      <c r="M2" s="13" t="s">
        <v>126</v>
      </c>
      <c r="N2" s="13" t="s">
        <v>127</v>
      </c>
      <c r="O2" s="15"/>
      <c r="P2" s="15"/>
    </row>
    <row r="3" customFormat="false" ht="35.05" hidden="false" customHeight="false" outlineLevel="0" collapsed="false">
      <c r="A3" s="13" t="s">
        <v>128</v>
      </c>
      <c r="B3" s="14" t="s">
        <v>53</v>
      </c>
      <c r="C3" s="13" t="s">
        <v>129</v>
      </c>
      <c r="D3" s="13" t="s">
        <v>130</v>
      </c>
      <c r="E3" s="13" t="s">
        <v>131</v>
      </c>
      <c r="F3" s="13" t="s">
        <v>122</v>
      </c>
      <c r="G3" s="13" t="s">
        <v>123</v>
      </c>
      <c r="H3" s="13" t="s">
        <v>124</v>
      </c>
      <c r="I3" s="13" t="s">
        <v>125</v>
      </c>
      <c r="J3" s="13" t="s">
        <v>64</v>
      </c>
      <c r="K3" s="13" t="s">
        <v>60</v>
      </c>
      <c r="L3" s="13" t="s">
        <v>46</v>
      </c>
      <c r="M3" s="13" t="s">
        <v>132</v>
      </c>
      <c r="N3" s="13" t="s">
        <v>127</v>
      </c>
      <c r="O3" s="15"/>
      <c r="P3" s="15"/>
    </row>
    <row r="4" customFormat="false" ht="35.05" hidden="false" customHeight="false" outlineLevel="0" collapsed="false">
      <c r="A4" s="13" t="s">
        <v>133</v>
      </c>
      <c r="B4" s="14" t="s">
        <v>53</v>
      </c>
      <c r="C4" s="13" t="s">
        <v>134</v>
      </c>
      <c r="D4" s="13" t="s">
        <v>135</v>
      </c>
      <c r="E4" s="13" t="s">
        <v>136</v>
      </c>
      <c r="F4" s="13" t="s">
        <v>123</v>
      </c>
      <c r="G4" s="13" t="s">
        <v>137</v>
      </c>
      <c r="H4" s="13" t="s">
        <v>138</v>
      </c>
      <c r="I4" s="13" t="s">
        <v>139</v>
      </c>
      <c r="J4" s="13" t="s">
        <v>62</v>
      </c>
      <c r="K4" s="13" t="s">
        <v>60</v>
      </c>
      <c r="L4" s="13" t="s">
        <v>47</v>
      </c>
      <c r="M4" s="13" t="s">
        <v>140</v>
      </c>
      <c r="N4" s="13" t="s">
        <v>127</v>
      </c>
      <c r="O4" s="15"/>
      <c r="P4" s="15"/>
    </row>
    <row r="5" customFormat="false" ht="35.05" hidden="false" customHeight="false" outlineLevel="0" collapsed="false">
      <c r="A5" s="13" t="s">
        <v>141</v>
      </c>
      <c r="B5" s="14" t="s">
        <v>53</v>
      </c>
      <c r="C5" s="13" t="s">
        <v>142</v>
      </c>
      <c r="D5" s="13" t="s">
        <v>143</v>
      </c>
      <c r="E5" s="13" t="s">
        <v>144</v>
      </c>
      <c r="F5" s="13" t="s">
        <v>145</v>
      </c>
      <c r="G5" s="13" t="s">
        <v>146</v>
      </c>
      <c r="H5" s="13" t="s">
        <v>124</v>
      </c>
      <c r="I5" s="13" t="s">
        <v>147</v>
      </c>
      <c r="J5" s="13" t="s">
        <v>63</v>
      </c>
      <c r="K5" s="13" t="s">
        <v>60</v>
      </c>
      <c r="L5" s="13" t="s">
        <v>46</v>
      </c>
      <c r="M5" s="13" t="s">
        <v>148</v>
      </c>
      <c r="N5" s="13" t="s">
        <v>127</v>
      </c>
      <c r="O5" s="15"/>
      <c r="P5" s="15"/>
    </row>
    <row r="6" customFormat="false" ht="46.25" hidden="false" customHeight="false" outlineLevel="0" collapsed="false">
      <c r="A6" s="13" t="s">
        <v>149</v>
      </c>
      <c r="B6" s="14" t="s">
        <v>53</v>
      </c>
      <c r="C6" s="13" t="s">
        <v>150</v>
      </c>
      <c r="D6" s="13" t="s">
        <v>151</v>
      </c>
      <c r="E6" s="13" t="s">
        <v>152</v>
      </c>
      <c r="F6" s="13" t="s">
        <v>145</v>
      </c>
      <c r="G6" s="13" t="s">
        <v>123</v>
      </c>
      <c r="H6" s="13" t="s">
        <v>153</v>
      </c>
      <c r="I6" s="13" t="s">
        <v>125</v>
      </c>
      <c r="J6" s="13" t="s">
        <v>64</v>
      </c>
      <c r="K6" s="13" t="s">
        <v>60</v>
      </c>
      <c r="L6" s="13" t="s">
        <v>46</v>
      </c>
      <c r="M6" s="13" t="s">
        <v>154</v>
      </c>
      <c r="N6" s="13" t="s">
        <v>127</v>
      </c>
      <c r="O6" s="15"/>
      <c r="P6" s="15"/>
    </row>
    <row r="7" customFormat="false" ht="35.05" hidden="false" customHeight="false" outlineLevel="0" collapsed="false">
      <c r="A7" s="13" t="s">
        <v>155</v>
      </c>
      <c r="B7" s="14" t="s">
        <v>53</v>
      </c>
      <c r="C7" s="13" t="s">
        <v>156</v>
      </c>
      <c r="D7" s="13" t="s">
        <v>157</v>
      </c>
      <c r="E7" s="13" t="s">
        <v>158</v>
      </c>
      <c r="F7" s="13" t="s">
        <v>159</v>
      </c>
      <c r="G7" s="13" t="s">
        <v>61</v>
      </c>
      <c r="H7" s="13" t="s">
        <v>160</v>
      </c>
      <c r="I7" s="13" t="s">
        <v>161</v>
      </c>
      <c r="J7" s="13" t="s">
        <v>61</v>
      </c>
      <c r="K7" s="13" t="s">
        <v>60</v>
      </c>
      <c r="L7" s="13" t="s">
        <v>46</v>
      </c>
      <c r="M7" s="13" t="s">
        <v>162</v>
      </c>
      <c r="N7" s="13" t="s">
        <v>127</v>
      </c>
      <c r="O7" s="15"/>
      <c r="P7" s="15"/>
    </row>
    <row r="8" customFormat="false" ht="46.25" hidden="false" customHeight="false" outlineLevel="0" collapsed="false">
      <c r="A8" s="13" t="s">
        <v>163</v>
      </c>
      <c r="B8" s="14" t="s">
        <v>53</v>
      </c>
      <c r="C8" s="13" t="s">
        <v>164</v>
      </c>
      <c r="D8" s="13" t="s">
        <v>165</v>
      </c>
      <c r="E8" s="13" t="s">
        <v>166</v>
      </c>
      <c r="F8" s="13" t="s">
        <v>123</v>
      </c>
      <c r="G8" s="13" t="s">
        <v>61</v>
      </c>
      <c r="H8" s="13" t="s">
        <v>124</v>
      </c>
      <c r="I8" s="13" t="s">
        <v>161</v>
      </c>
      <c r="J8" s="13" t="s">
        <v>61</v>
      </c>
      <c r="K8" s="13" t="s">
        <v>60</v>
      </c>
      <c r="L8" s="13" t="s">
        <v>46</v>
      </c>
      <c r="M8" s="13" t="s">
        <v>167</v>
      </c>
      <c r="N8" s="13" t="s">
        <v>127</v>
      </c>
      <c r="O8" s="15"/>
      <c r="P8" s="15"/>
    </row>
    <row r="9" customFormat="false" ht="35.05" hidden="false" customHeight="false" outlineLevel="0" collapsed="false">
      <c r="A9" s="13" t="s">
        <v>168</v>
      </c>
      <c r="B9" s="14" t="s">
        <v>53</v>
      </c>
      <c r="C9" s="13" t="s">
        <v>169</v>
      </c>
      <c r="D9" s="13" t="s">
        <v>170</v>
      </c>
      <c r="E9" s="13" t="s">
        <v>171</v>
      </c>
      <c r="F9" s="13" t="s">
        <v>123</v>
      </c>
      <c r="G9" s="13" t="s">
        <v>61</v>
      </c>
      <c r="H9" s="13" t="s">
        <v>124</v>
      </c>
      <c r="I9" s="13" t="s">
        <v>161</v>
      </c>
      <c r="J9" s="13" t="s">
        <v>61</v>
      </c>
      <c r="K9" s="13" t="s">
        <v>60</v>
      </c>
      <c r="L9" s="13" t="s">
        <v>46</v>
      </c>
      <c r="M9" s="13" t="s">
        <v>172</v>
      </c>
      <c r="N9" s="13" t="s">
        <v>127</v>
      </c>
      <c r="O9" s="15"/>
      <c r="P9" s="15"/>
    </row>
    <row r="10" customFormat="false" ht="23.85" hidden="false" customHeight="false" outlineLevel="0" collapsed="false">
      <c r="A10" s="13" t="s">
        <v>173</v>
      </c>
      <c r="B10" s="14" t="s">
        <v>53</v>
      </c>
      <c r="C10" s="13" t="s">
        <v>174</v>
      </c>
      <c r="D10" s="13" t="s">
        <v>175</v>
      </c>
      <c r="E10" s="13" t="s">
        <v>176</v>
      </c>
      <c r="F10" s="13" t="s">
        <v>61</v>
      </c>
      <c r="G10" s="13" t="s">
        <v>177</v>
      </c>
      <c r="H10" s="13" t="s">
        <v>178</v>
      </c>
      <c r="I10" s="13" t="s">
        <v>161</v>
      </c>
      <c r="J10" s="13" t="s">
        <v>61</v>
      </c>
      <c r="K10" s="13" t="s">
        <v>60</v>
      </c>
      <c r="L10" s="13" t="s">
        <v>48</v>
      </c>
      <c r="M10" s="13" t="s">
        <v>179</v>
      </c>
      <c r="N10" s="13" t="s">
        <v>127</v>
      </c>
      <c r="O10" s="15"/>
      <c r="P10" s="15"/>
    </row>
    <row r="11" customFormat="false" ht="23.85" hidden="false" customHeight="false" outlineLevel="0" collapsed="false">
      <c r="A11" s="13" t="s">
        <v>180</v>
      </c>
      <c r="B11" s="14" t="s">
        <v>53</v>
      </c>
      <c r="C11" s="13" t="s">
        <v>181</v>
      </c>
      <c r="D11" s="13" t="s">
        <v>182</v>
      </c>
      <c r="E11" s="13" t="s">
        <v>183</v>
      </c>
      <c r="F11" s="13" t="s">
        <v>61</v>
      </c>
      <c r="G11" s="13" t="s">
        <v>61</v>
      </c>
      <c r="H11" s="13" t="s">
        <v>184</v>
      </c>
      <c r="I11" s="13" t="s">
        <v>185</v>
      </c>
      <c r="J11" s="13" t="s">
        <v>61</v>
      </c>
      <c r="K11" s="13" t="s">
        <v>60</v>
      </c>
      <c r="L11" s="13" t="s">
        <v>48</v>
      </c>
      <c r="M11" s="13" t="s">
        <v>186</v>
      </c>
      <c r="N11" s="13" t="s">
        <v>127</v>
      </c>
      <c r="O11" s="15"/>
      <c r="P11" s="15"/>
    </row>
    <row r="12" customFormat="false" ht="35.05" hidden="false" customHeight="false" outlineLevel="0" collapsed="false">
      <c r="A12" s="13" t="s">
        <v>187</v>
      </c>
      <c r="B12" s="14" t="s">
        <v>53</v>
      </c>
      <c r="C12" s="13" t="s">
        <v>188</v>
      </c>
      <c r="D12" s="13" t="s">
        <v>189</v>
      </c>
      <c r="E12" s="13" t="s">
        <v>190</v>
      </c>
      <c r="F12" s="13" t="s">
        <v>146</v>
      </c>
      <c r="G12" s="13" t="s">
        <v>137</v>
      </c>
      <c r="H12" s="13" t="s">
        <v>124</v>
      </c>
      <c r="I12" s="13" t="s">
        <v>191</v>
      </c>
      <c r="J12" s="13" t="s">
        <v>62</v>
      </c>
      <c r="K12" s="13" t="s">
        <v>60</v>
      </c>
      <c r="L12" s="13" t="s">
        <v>46</v>
      </c>
      <c r="M12" s="13" t="s">
        <v>192</v>
      </c>
      <c r="N12" s="13" t="s">
        <v>127</v>
      </c>
      <c r="O12" s="15"/>
      <c r="P12" s="15"/>
    </row>
    <row r="13" customFormat="false" ht="46.25" hidden="false" customHeight="false" outlineLevel="0" collapsed="false">
      <c r="A13" s="13" t="s">
        <v>193</v>
      </c>
      <c r="B13" s="14" t="s">
        <v>53</v>
      </c>
      <c r="C13" s="13" t="s">
        <v>194</v>
      </c>
      <c r="D13" s="13" t="s">
        <v>195</v>
      </c>
      <c r="E13" s="13" t="s">
        <v>196</v>
      </c>
      <c r="F13" s="13" t="s">
        <v>123</v>
      </c>
      <c r="G13" s="13" t="s">
        <v>66</v>
      </c>
      <c r="H13" s="13" t="s">
        <v>124</v>
      </c>
      <c r="I13" s="13" t="s">
        <v>125</v>
      </c>
      <c r="J13" s="13" t="s">
        <v>66</v>
      </c>
      <c r="K13" s="13" t="s">
        <v>60</v>
      </c>
      <c r="L13" s="13" t="s">
        <v>46</v>
      </c>
      <c r="M13" s="13" t="s">
        <v>197</v>
      </c>
      <c r="N13" s="13" t="s">
        <v>127</v>
      </c>
      <c r="O13" s="15"/>
      <c r="P13" s="15"/>
    </row>
    <row r="14" customFormat="false" ht="35.05" hidden="false" customHeight="false" outlineLevel="0" collapsed="false">
      <c r="A14" s="13" t="s">
        <v>198</v>
      </c>
      <c r="B14" s="14" t="s">
        <v>53</v>
      </c>
      <c r="C14" s="13" t="s">
        <v>199</v>
      </c>
      <c r="D14" s="13" t="s">
        <v>200</v>
      </c>
      <c r="E14" s="13" t="s">
        <v>201</v>
      </c>
      <c r="F14" s="13" t="s">
        <v>123</v>
      </c>
      <c r="G14" s="13" t="s">
        <v>202</v>
      </c>
      <c r="H14" s="13" t="s">
        <v>203</v>
      </c>
      <c r="I14" s="13" t="s">
        <v>204</v>
      </c>
      <c r="J14" s="13" t="s">
        <v>202</v>
      </c>
      <c r="K14" s="13" t="s">
        <v>60</v>
      </c>
      <c r="L14" s="13" t="s">
        <v>46</v>
      </c>
      <c r="M14" s="13" t="s">
        <v>179</v>
      </c>
      <c r="N14" s="13" t="s">
        <v>127</v>
      </c>
      <c r="O14" s="15"/>
      <c r="P14" s="15"/>
    </row>
    <row r="15" customFormat="false" ht="23.85" hidden="false" customHeight="false" outlineLevel="0" collapsed="false">
      <c r="A15" s="13" t="s">
        <v>205</v>
      </c>
      <c r="B15" s="14" t="s">
        <v>53</v>
      </c>
      <c r="C15" s="13" t="s">
        <v>206</v>
      </c>
      <c r="D15" s="13" t="s">
        <v>207</v>
      </c>
      <c r="E15" s="13" t="s">
        <v>208</v>
      </c>
      <c r="F15" s="13" t="s">
        <v>67</v>
      </c>
      <c r="G15" s="13" t="s">
        <v>67</v>
      </c>
      <c r="H15" s="13" t="s">
        <v>209</v>
      </c>
      <c r="I15" s="13" t="s">
        <v>210</v>
      </c>
      <c r="J15" s="13" t="s">
        <v>202</v>
      </c>
      <c r="K15" s="13" t="s">
        <v>60</v>
      </c>
      <c r="L15" s="13" t="s">
        <v>49</v>
      </c>
      <c r="M15" s="13" t="s">
        <v>211</v>
      </c>
      <c r="N15" s="13" t="s">
        <v>127</v>
      </c>
      <c r="O15" s="15"/>
      <c r="P15" s="15"/>
    </row>
    <row r="16" customFormat="false" ht="35.05" hidden="false" customHeight="false" outlineLevel="0" collapsed="false">
      <c r="A16" s="13" t="s">
        <v>212</v>
      </c>
      <c r="B16" s="16" t="s">
        <v>54</v>
      </c>
      <c r="C16" s="13" t="s">
        <v>213</v>
      </c>
      <c r="D16" s="13" t="s">
        <v>214</v>
      </c>
      <c r="E16" s="13" t="s">
        <v>215</v>
      </c>
      <c r="F16" s="13" t="s">
        <v>145</v>
      </c>
      <c r="G16" s="13" t="s">
        <v>146</v>
      </c>
      <c r="H16" s="13" t="s">
        <v>124</v>
      </c>
      <c r="I16" s="13" t="s">
        <v>191</v>
      </c>
      <c r="J16" s="13" t="s">
        <v>63</v>
      </c>
      <c r="K16" s="13" t="s">
        <v>60</v>
      </c>
      <c r="L16" s="13" t="s">
        <v>46</v>
      </c>
      <c r="M16" s="13" t="s">
        <v>148</v>
      </c>
      <c r="N16" s="13" t="s">
        <v>127</v>
      </c>
      <c r="O16" s="15"/>
      <c r="P16" s="15"/>
    </row>
    <row r="17" customFormat="false" ht="23.85" hidden="false" customHeight="false" outlineLevel="0" collapsed="false">
      <c r="A17" s="13" t="s">
        <v>216</v>
      </c>
      <c r="B17" s="16" t="s">
        <v>54</v>
      </c>
      <c r="C17" s="13" t="s">
        <v>217</v>
      </c>
      <c r="D17" s="13" t="s">
        <v>218</v>
      </c>
      <c r="E17" s="13" t="s">
        <v>219</v>
      </c>
      <c r="F17" s="13" t="s">
        <v>146</v>
      </c>
      <c r="G17" s="13" t="s">
        <v>146</v>
      </c>
      <c r="H17" s="13" t="s">
        <v>220</v>
      </c>
      <c r="I17" s="13" t="s">
        <v>191</v>
      </c>
      <c r="J17" s="13" t="s">
        <v>63</v>
      </c>
      <c r="K17" s="13" t="s">
        <v>60</v>
      </c>
      <c r="L17" s="13" t="s">
        <v>46</v>
      </c>
      <c r="M17" s="13" t="s">
        <v>221</v>
      </c>
      <c r="N17" s="13" t="s">
        <v>127</v>
      </c>
      <c r="O17" s="15"/>
      <c r="P17" s="15"/>
    </row>
    <row r="18" customFormat="false" ht="23.85" hidden="false" customHeight="false" outlineLevel="0" collapsed="false">
      <c r="A18" s="13" t="s">
        <v>222</v>
      </c>
      <c r="B18" s="16" t="s">
        <v>54</v>
      </c>
      <c r="C18" s="13" t="s">
        <v>223</v>
      </c>
      <c r="D18" s="13" t="s">
        <v>224</v>
      </c>
      <c r="E18" s="13" t="s">
        <v>225</v>
      </c>
      <c r="F18" s="13" t="s">
        <v>226</v>
      </c>
      <c r="G18" s="13" t="s">
        <v>227</v>
      </c>
      <c r="H18" s="13" t="s">
        <v>228</v>
      </c>
      <c r="I18" s="13" t="s">
        <v>191</v>
      </c>
      <c r="J18" s="13" t="s">
        <v>63</v>
      </c>
      <c r="K18" s="13" t="s">
        <v>60</v>
      </c>
      <c r="L18" s="13" t="s">
        <v>46</v>
      </c>
      <c r="M18" s="13"/>
      <c r="N18" s="13" t="s">
        <v>127</v>
      </c>
      <c r="O18" s="15"/>
      <c r="P18" s="15"/>
    </row>
    <row r="19" customFormat="false" ht="23.85" hidden="false" customHeight="false" outlineLevel="0" collapsed="false">
      <c r="A19" s="13" t="s">
        <v>229</v>
      </c>
      <c r="B19" s="16" t="s">
        <v>54</v>
      </c>
      <c r="C19" s="13" t="s">
        <v>230</v>
      </c>
      <c r="D19" s="13" t="s">
        <v>231</v>
      </c>
      <c r="E19" s="13" t="s">
        <v>232</v>
      </c>
      <c r="F19" s="13" t="s">
        <v>146</v>
      </c>
      <c r="G19" s="13" t="s">
        <v>233</v>
      </c>
      <c r="H19" s="13" t="s">
        <v>220</v>
      </c>
      <c r="I19" s="13" t="s">
        <v>191</v>
      </c>
      <c r="J19" s="13" t="s">
        <v>63</v>
      </c>
      <c r="K19" s="13" t="s">
        <v>60</v>
      </c>
      <c r="L19" s="13" t="s">
        <v>46</v>
      </c>
      <c r="M19" s="13" t="s">
        <v>221</v>
      </c>
      <c r="N19" s="13" t="s">
        <v>127</v>
      </c>
      <c r="O19" s="15"/>
      <c r="P19" s="15"/>
    </row>
    <row r="20" customFormat="false" ht="23.85" hidden="false" customHeight="false" outlineLevel="0" collapsed="false">
      <c r="A20" s="13" t="s">
        <v>234</v>
      </c>
      <c r="B20" s="16" t="s">
        <v>54</v>
      </c>
      <c r="C20" s="13" t="s">
        <v>235</v>
      </c>
      <c r="D20" s="13" t="s">
        <v>236</v>
      </c>
      <c r="E20" s="13" t="s">
        <v>237</v>
      </c>
      <c r="F20" s="13" t="s">
        <v>146</v>
      </c>
      <c r="G20" s="13" t="s">
        <v>238</v>
      </c>
      <c r="H20" s="13" t="s">
        <v>220</v>
      </c>
      <c r="I20" s="13" t="s">
        <v>191</v>
      </c>
      <c r="J20" s="13" t="s">
        <v>63</v>
      </c>
      <c r="K20" s="13" t="s">
        <v>60</v>
      </c>
      <c r="L20" s="13" t="s">
        <v>46</v>
      </c>
      <c r="M20" s="13" t="s">
        <v>239</v>
      </c>
      <c r="N20" s="13" t="s">
        <v>127</v>
      </c>
      <c r="O20" s="15"/>
      <c r="P20" s="15"/>
    </row>
    <row r="21" customFormat="false" ht="23.85" hidden="false" customHeight="false" outlineLevel="0" collapsed="false">
      <c r="A21" s="13" t="s">
        <v>240</v>
      </c>
      <c r="B21" s="16" t="s">
        <v>54</v>
      </c>
      <c r="C21" s="13" t="s">
        <v>241</v>
      </c>
      <c r="D21" s="13" t="s">
        <v>242</v>
      </c>
      <c r="E21" s="13" t="s">
        <v>243</v>
      </c>
      <c r="F21" s="13" t="s">
        <v>146</v>
      </c>
      <c r="G21" s="13" t="s">
        <v>244</v>
      </c>
      <c r="H21" s="13" t="s">
        <v>220</v>
      </c>
      <c r="I21" s="13" t="s">
        <v>191</v>
      </c>
      <c r="J21" s="13" t="s">
        <v>63</v>
      </c>
      <c r="K21" s="13" t="s">
        <v>60</v>
      </c>
      <c r="L21" s="13" t="s">
        <v>46</v>
      </c>
      <c r="M21" s="13"/>
      <c r="N21" s="13" t="s">
        <v>127</v>
      </c>
      <c r="O21" s="15"/>
      <c r="P21" s="15"/>
    </row>
    <row r="22" customFormat="false" ht="35.05" hidden="false" customHeight="false" outlineLevel="0" collapsed="false">
      <c r="A22" s="13" t="s">
        <v>245</v>
      </c>
      <c r="B22" s="16" t="s">
        <v>54</v>
      </c>
      <c r="C22" s="13" t="s">
        <v>246</v>
      </c>
      <c r="D22" s="13" t="s">
        <v>247</v>
      </c>
      <c r="E22" s="13" t="s">
        <v>248</v>
      </c>
      <c r="F22" s="13" t="s">
        <v>146</v>
      </c>
      <c r="G22" s="13" t="s">
        <v>249</v>
      </c>
      <c r="H22" s="13" t="s">
        <v>55</v>
      </c>
      <c r="I22" s="13" t="s">
        <v>250</v>
      </c>
      <c r="J22" s="13" t="s">
        <v>63</v>
      </c>
      <c r="K22" s="13" t="s">
        <v>60</v>
      </c>
      <c r="L22" s="13" t="s">
        <v>46</v>
      </c>
      <c r="M22" s="13" t="s">
        <v>251</v>
      </c>
      <c r="N22" s="13" t="s">
        <v>127</v>
      </c>
      <c r="O22" s="15"/>
      <c r="P22" s="15"/>
    </row>
    <row r="23" customFormat="false" ht="46.25" hidden="false" customHeight="false" outlineLevel="0" collapsed="false">
      <c r="A23" s="13" t="s">
        <v>252</v>
      </c>
      <c r="B23" s="16" t="s">
        <v>54</v>
      </c>
      <c r="C23" s="13" t="s">
        <v>253</v>
      </c>
      <c r="D23" s="13" t="s">
        <v>254</v>
      </c>
      <c r="E23" s="13" t="s">
        <v>255</v>
      </c>
      <c r="F23" s="13" t="s">
        <v>123</v>
      </c>
      <c r="G23" s="13" t="s">
        <v>146</v>
      </c>
      <c r="H23" s="13" t="s">
        <v>256</v>
      </c>
      <c r="I23" s="13" t="s">
        <v>139</v>
      </c>
      <c r="J23" s="13" t="s">
        <v>63</v>
      </c>
      <c r="K23" s="13" t="s">
        <v>60</v>
      </c>
      <c r="L23" s="13" t="s">
        <v>46</v>
      </c>
      <c r="M23" s="13" t="s">
        <v>257</v>
      </c>
      <c r="N23" s="13" t="s">
        <v>127</v>
      </c>
      <c r="O23" s="15"/>
      <c r="P23" s="15"/>
    </row>
    <row r="24" customFormat="false" ht="23.85" hidden="false" customHeight="false" outlineLevel="0" collapsed="false">
      <c r="A24" s="13" t="s">
        <v>258</v>
      </c>
      <c r="B24" s="16" t="s">
        <v>54</v>
      </c>
      <c r="C24" s="13" t="s">
        <v>259</v>
      </c>
      <c r="D24" s="13" t="s">
        <v>260</v>
      </c>
      <c r="E24" s="13" t="s">
        <v>261</v>
      </c>
      <c r="F24" s="13" t="s">
        <v>146</v>
      </c>
      <c r="G24" s="13" t="s">
        <v>262</v>
      </c>
      <c r="H24" s="13" t="s">
        <v>228</v>
      </c>
      <c r="I24" s="13" t="s">
        <v>191</v>
      </c>
      <c r="J24" s="13" t="s">
        <v>61</v>
      </c>
      <c r="K24" s="13" t="s">
        <v>60</v>
      </c>
      <c r="L24" s="13" t="s">
        <v>46</v>
      </c>
      <c r="M24" s="13" t="s">
        <v>172</v>
      </c>
      <c r="N24" s="13" t="s">
        <v>127</v>
      </c>
      <c r="O24" s="15"/>
      <c r="P24" s="15"/>
    </row>
    <row r="25" customFormat="false" ht="35.05" hidden="false" customHeight="false" outlineLevel="0" collapsed="false">
      <c r="A25" s="13" t="s">
        <v>263</v>
      </c>
      <c r="B25" s="16" t="s">
        <v>54</v>
      </c>
      <c r="C25" s="13" t="s">
        <v>264</v>
      </c>
      <c r="D25" s="13" t="s">
        <v>265</v>
      </c>
      <c r="E25" s="13" t="s">
        <v>266</v>
      </c>
      <c r="F25" s="13" t="s">
        <v>146</v>
      </c>
      <c r="G25" s="13" t="s">
        <v>137</v>
      </c>
      <c r="H25" s="13" t="s">
        <v>124</v>
      </c>
      <c r="I25" s="13" t="s">
        <v>191</v>
      </c>
      <c r="J25" s="13" t="s">
        <v>62</v>
      </c>
      <c r="K25" s="13" t="s">
        <v>60</v>
      </c>
      <c r="L25" s="13" t="s">
        <v>46</v>
      </c>
      <c r="M25" s="13" t="s">
        <v>267</v>
      </c>
      <c r="N25" s="13" t="s">
        <v>127</v>
      </c>
      <c r="O25" s="15"/>
      <c r="P25" s="15"/>
    </row>
    <row r="26" customFormat="false" ht="35.05" hidden="false" customHeight="false" outlineLevel="0" collapsed="false">
      <c r="A26" s="13" t="s">
        <v>268</v>
      </c>
      <c r="B26" s="16" t="s">
        <v>54</v>
      </c>
      <c r="C26" s="13" t="s">
        <v>269</v>
      </c>
      <c r="D26" s="13" t="s">
        <v>270</v>
      </c>
      <c r="E26" s="13" t="s">
        <v>271</v>
      </c>
      <c r="F26" s="13" t="s">
        <v>146</v>
      </c>
      <c r="G26" s="13" t="s">
        <v>123</v>
      </c>
      <c r="H26" s="13" t="s">
        <v>55</v>
      </c>
      <c r="I26" s="13" t="s">
        <v>250</v>
      </c>
      <c r="J26" s="13" t="s">
        <v>202</v>
      </c>
      <c r="K26" s="13" t="s">
        <v>60</v>
      </c>
      <c r="L26" s="13" t="s">
        <v>46</v>
      </c>
      <c r="M26" s="13" t="s">
        <v>267</v>
      </c>
      <c r="N26" s="13" t="s">
        <v>127</v>
      </c>
      <c r="O26" s="15"/>
      <c r="P26" s="15"/>
    </row>
    <row r="27" customFormat="false" ht="23.85" hidden="false" customHeight="false" outlineLevel="0" collapsed="false">
      <c r="A27" s="13" t="s">
        <v>272</v>
      </c>
      <c r="B27" s="16" t="s">
        <v>54</v>
      </c>
      <c r="C27" s="13" t="s">
        <v>273</v>
      </c>
      <c r="D27" s="13" t="s">
        <v>274</v>
      </c>
      <c r="E27" s="13" t="s">
        <v>275</v>
      </c>
      <c r="F27" s="13" t="s">
        <v>123</v>
      </c>
      <c r="G27" s="13" t="s">
        <v>146</v>
      </c>
      <c r="H27" s="13" t="s">
        <v>276</v>
      </c>
      <c r="I27" s="13" t="s">
        <v>139</v>
      </c>
      <c r="J27" s="13" t="s">
        <v>63</v>
      </c>
      <c r="K27" s="13" t="s">
        <v>60</v>
      </c>
      <c r="L27" s="13" t="s">
        <v>46</v>
      </c>
      <c r="M27" s="13" t="s">
        <v>277</v>
      </c>
      <c r="N27" s="13" t="s">
        <v>127</v>
      </c>
      <c r="O27" s="15"/>
      <c r="P27" s="15"/>
    </row>
    <row r="28" customFormat="false" ht="23.85" hidden="false" customHeight="false" outlineLevel="0" collapsed="false">
      <c r="A28" s="13" t="s">
        <v>278</v>
      </c>
      <c r="B28" s="16" t="s">
        <v>54</v>
      </c>
      <c r="C28" s="13" t="s">
        <v>279</v>
      </c>
      <c r="D28" s="13" t="s">
        <v>280</v>
      </c>
      <c r="E28" s="13" t="s">
        <v>281</v>
      </c>
      <c r="F28" s="13" t="s">
        <v>146</v>
      </c>
      <c r="G28" s="13" t="s">
        <v>282</v>
      </c>
      <c r="H28" s="13" t="s">
        <v>209</v>
      </c>
      <c r="I28" s="13" t="s">
        <v>191</v>
      </c>
      <c r="J28" s="13" t="s">
        <v>63</v>
      </c>
      <c r="K28" s="13" t="s">
        <v>60</v>
      </c>
      <c r="L28" s="13" t="s">
        <v>46</v>
      </c>
      <c r="M28" s="13" t="s">
        <v>211</v>
      </c>
      <c r="N28" s="13" t="s">
        <v>127</v>
      </c>
      <c r="O28" s="15"/>
      <c r="P28" s="15"/>
    </row>
    <row r="29" customFormat="false" ht="35.05" hidden="false" customHeight="false" outlineLevel="0" collapsed="false">
      <c r="A29" s="13" t="s">
        <v>283</v>
      </c>
      <c r="B29" s="16" t="s">
        <v>54</v>
      </c>
      <c r="C29" s="13" t="s">
        <v>284</v>
      </c>
      <c r="D29" s="13" t="s">
        <v>285</v>
      </c>
      <c r="E29" s="13" t="s">
        <v>286</v>
      </c>
      <c r="F29" s="13" t="s">
        <v>287</v>
      </c>
      <c r="G29" s="13" t="s">
        <v>146</v>
      </c>
      <c r="H29" s="13" t="s">
        <v>228</v>
      </c>
      <c r="I29" s="13" t="s">
        <v>191</v>
      </c>
      <c r="J29" s="13" t="s">
        <v>63</v>
      </c>
      <c r="K29" s="13" t="s">
        <v>60</v>
      </c>
      <c r="L29" s="13" t="s">
        <v>50</v>
      </c>
      <c r="M29" s="13" t="s">
        <v>288</v>
      </c>
      <c r="N29" s="13" t="s">
        <v>127</v>
      </c>
      <c r="O29" s="15"/>
      <c r="P29" s="15"/>
    </row>
    <row r="30" customFormat="false" ht="35.05" hidden="false" customHeight="false" outlineLevel="0" collapsed="false">
      <c r="A30" s="13" t="s">
        <v>289</v>
      </c>
      <c r="B30" s="17" t="s">
        <v>55</v>
      </c>
      <c r="C30" s="13" t="s">
        <v>290</v>
      </c>
      <c r="D30" s="13" t="s">
        <v>291</v>
      </c>
      <c r="E30" s="13" t="s">
        <v>292</v>
      </c>
      <c r="F30" s="13" t="s">
        <v>145</v>
      </c>
      <c r="G30" s="13" t="s">
        <v>123</v>
      </c>
      <c r="H30" s="13" t="s">
        <v>55</v>
      </c>
      <c r="I30" s="13" t="s">
        <v>293</v>
      </c>
      <c r="J30" s="13" t="s">
        <v>64</v>
      </c>
      <c r="K30" s="13" t="s">
        <v>60</v>
      </c>
      <c r="L30" s="13" t="s">
        <v>46</v>
      </c>
      <c r="M30" s="13" t="s">
        <v>257</v>
      </c>
      <c r="N30" s="13" t="s">
        <v>127</v>
      </c>
      <c r="O30" s="15"/>
      <c r="P30" s="15"/>
    </row>
    <row r="31" customFormat="false" ht="35.05" hidden="false" customHeight="false" outlineLevel="0" collapsed="false">
      <c r="A31" s="13" t="s">
        <v>294</v>
      </c>
      <c r="B31" s="17" t="s">
        <v>55</v>
      </c>
      <c r="C31" s="13" t="s">
        <v>295</v>
      </c>
      <c r="D31" s="13" t="s">
        <v>296</v>
      </c>
      <c r="E31" s="13" t="s">
        <v>297</v>
      </c>
      <c r="F31" s="13" t="s">
        <v>146</v>
      </c>
      <c r="G31" s="13" t="s">
        <v>249</v>
      </c>
      <c r="H31" s="13" t="s">
        <v>55</v>
      </c>
      <c r="I31" s="13" t="s">
        <v>250</v>
      </c>
      <c r="J31" s="13" t="s">
        <v>65</v>
      </c>
      <c r="K31" s="13" t="s">
        <v>60</v>
      </c>
      <c r="L31" s="13" t="s">
        <v>46</v>
      </c>
      <c r="M31" s="13" t="s">
        <v>251</v>
      </c>
      <c r="N31" s="13" t="s">
        <v>127</v>
      </c>
      <c r="O31" s="15"/>
      <c r="P31" s="15"/>
    </row>
    <row r="32" customFormat="false" ht="35.05" hidden="false" customHeight="false" outlineLevel="0" collapsed="false">
      <c r="A32" s="13" t="s">
        <v>298</v>
      </c>
      <c r="B32" s="17" t="s">
        <v>55</v>
      </c>
      <c r="C32" s="13" t="s">
        <v>299</v>
      </c>
      <c r="D32" s="13" t="s">
        <v>300</v>
      </c>
      <c r="E32" s="13" t="s">
        <v>301</v>
      </c>
      <c r="F32" s="13" t="s">
        <v>146</v>
      </c>
      <c r="G32" s="13" t="s">
        <v>249</v>
      </c>
      <c r="H32" s="13" t="s">
        <v>55</v>
      </c>
      <c r="I32" s="13" t="s">
        <v>250</v>
      </c>
      <c r="J32" s="13" t="s">
        <v>65</v>
      </c>
      <c r="K32" s="13" t="s">
        <v>60</v>
      </c>
      <c r="L32" s="13" t="s">
        <v>46</v>
      </c>
      <c r="M32" s="13"/>
      <c r="N32" s="13" t="s">
        <v>127</v>
      </c>
      <c r="O32" s="15"/>
      <c r="P32" s="15"/>
    </row>
    <row r="33" customFormat="false" ht="35.05" hidden="false" customHeight="false" outlineLevel="0" collapsed="false">
      <c r="A33" s="13" t="s">
        <v>302</v>
      </c>
      <c r="B33" s="17" t="s">
        <v>55</v>
      </c>
      <c r="C33" s="13" t="s">
        <v>303</v>
      </c>
      <c r="D33" s="13" t="s">
        <v>304</v>
      </c>
      <c r="E33" s="13" t="s">
        <v>305</v>
      </c>
      <c r="F33" s="13" t="s">
        <v>123</v>
      </c>
      <c r="G33" s="13" t="s">
        <v>146</v>
      </c>
      <c r="H33" s="13" t="s">
        <v>256</v>
      </c>
      <c r="I33" s="13" t="s">
        <v>250</v>
      </c>
      <c r="J33" s="13" t="s">
        <v>61</v>
      </c>
      <c r="K33" s="13" t="s">
        <v>60</v>
      </c>
      <c r="L33" s="13" t="s">
        <v>46</v>
      </c>
      <c r="M33" s="13" t="s">
        <v>306</v>
      </c>
      <c r="N33" s="13" t="s">
        <v>127</v>
      </c>
      <c r="O33" s="15"/>
      <c r="P33" s="15"/>
    </row>
    <row r="34" customFormat="false" ht="23.85" hidden="false" customHeight="false" outlineLevel="0" collapsed="false">
      <c r="A34" s="13" t="s">
        <v>307</v>
      </c>
      <c r="B34" s="17" t="s">
        <v>55</v>
      </c>
      <c r="C34" s="13" t="s">
        <v>308</v>
      </c>
      <c r="D34" s="13" t="s">
        <v>309</v>
      </c>
      <c r="E34" s="13" t="s">
        <v>310</v>
      </c>
      <c r="F34" s="13" t="s">
        <v>146</v>
      </c>
      <c r="G34" s="13" t="s">
        <v>123</v>
      </c>
      <c r="H34" s="13" t="s">
        <v>55</v>
      </c>
      <c r="I34" s="13" t="s">
        <v>250</v>
      </c>
      <c r="J34" s="13" t="s">
        <v>61</v>
      </c>
      <c r="K34" s="13" t="s">
        <v>60</v>
      </c>
      <c r="L34" s="13" t="s">
        <v>46</v>
      </c>
      <c r="M34" s="13" t="s">
        <v>267</v>
      </c>
      <c r="N34" s="13" t="s">
        <v>127</v>
      </c>
      <c r="O34" s="15"/>
      <c r="P34" s="15"/>
    </row>
    <row r="35" customFormat="false" ht="35.05" hidden="false" customHeight="false" outlineLevel="0" collapsed="false">
      <c r="A35" s="13" t="s">
        <v>311</v>
      </c>
      <c r="B35" s="17" t="s">
        <v>55</v>
      </c>
      <c r="C35" s="13" t="s">
        <v>312</v>
      </c>
      <c r="D35" s="13" t="s">
        <v>313</v>
      </c>
      <c r="E35" s="13" t="s">
        <v>314</v>
      </c>
      <c r="F35" s="13" t="s">
        <v>61</v>
      </c>
      <c r="G35" s="13" t="s">
        <v>123</v>
      </c>
      <c r="H35" s="13" t="s">
        <v>55</v>
      </c>
      <c r="I35" s="13" t="s">
        <v>250</v>
      </c>
      <c r="J35" s="13" t="s">
        <v>61</v>
      </c>
      <c r="K35" s="13" t="s">
        <v>60</v>
      </c>
      <c r="L35" s="13" t="s">
        <v>49</v>
      </c>
      <c r="M35" s="13" t="s">
        <v>315</v>
      </c>
      <c r="N35" s="13" t="s">
        <v>127</v>
      </c>
      <c r="O35" s="15"/>
      <c r="P35" s="15"/>
    </row>
    <row r="36" customFormat="false" ht="23.85" hidden="false" customHeight="false" outlineLevel="0" collapsed="false">
      <c r="A36" s="13" t="s">
        <v>316</v>
      </c>
      <c r="B36" s="17" t="s">
        <v>55</v>
      </c>
      <c r="C36" s="13" t="s">
        <v>317</v>
      </c>
      <c r="D36" s="13" t="s">
        <v>318</v>
      </c>
      <c r="E36" s="13" t="s">
        <v>319</v>
      </c>
      <c r="F36" s="13" t="s">
        <v>123</v>
      </c>
      <c r="G36" s="13" t="s">
        <v>146</v>
      </c>
      <c r="H36" s="13" t="s">
        <v>256</v>
      </c>
      <c r="I36" s="13" t="s">
        <v>250</v>
      </c>
      <c r="J36" s="13" t="s">
        <v>62</v>
      </c>
      <c r="K36" s="13" t="s">
        <v>60</v>
      </c>
      <c r="L36" s="13" t="s">
        <v>46</v>
      </c>
      <c r="M36" s="13" t="s">
        <v>257</v>
      </c>
      <c r="N36" s="13" t="s">
        <v>127</v>
      </c>
      <c r="O36" s="15"/>
      <c r="P36" s="15"/>
    </row>
    <row r="37" customFormat="false" ht="23.85" hidden="false" customHeight="false" outlineLevel="0" collapsed="false">
      <c r="A37" s="13" t="s">
        <v>320</v>
      </c>
      <c r="B37" s="17" t="s">
        <v>55</v>
      </c>
      <c r="C37" s="13" t="s">
        <v>321</v>
      </c>
      <c r="D37" s="13" t="s">
        <v>322</v>
      </c>
      <c r="E37" s="13" t="s">
        <v>323</v>
      </c>
      <c r="F37" s="13" t="s">
        <v>146</v>
      </c>
      <c r="G37" s="13" t="s">
        <v>123</v>
      </c>
      <c r="H37" s="13" t="s">
        <v>55</v>
      </c>
      <c r="I37" s="13" t="s">
        <v>250</v>
      </c>
      <c r="J37" s="13" t="s">
        <v>62</v>
      </c>
      <c r="K37" s="13" t="s">
        <v>60</v>
      </c>
      <c r="L37" s="13" t="s">
        <v>46</v>
      </c>
      <c r="M37" s="13" t="s">
        <v>267</v>
      </c>
      <c r="N37" s="13" t="s">
        <v>127</v>
      </c>
      <c r="O37" s="15"/>
      <c r="P37" s="15"/>
    </row>
    <row r="38" customFormat="false" ht="35.05" hidden="false" customHeight="false" outlineLevel="0" collapsed="false">
      <c r="A38" s="13" t="s">
        <v>324</v>
      </c>
      <c r="B38" s="17" t="s">
        <v>55</v>
      </c>
      <c r="C38" s="13" t="s">
        <v>325</v>
      </c>
      <c r="D38" s="13" t="s">
        <v>326</v>
      </c>
      <c r="E38" s="13" t="s">
        <v>327</v>
      </c>
      <c r="F38" s="13" t="s">
        <v>123</v>
      </c>
      <c r="G38" s="13" t="s">
        <v>328</v>
      </c>
      <c r="H38" s="13" t="s">
        <v>55</v>
      </c>
      <c r="I38" s="13" t="s">
        <v>293</v>
      </c>
      <c r="J38" s="13" t="s">
        <v>65</v>
      </c>
      <c r="K38" s="13" t="s">
        <v>60</v>
      </c>
      <c r="L38" s="13" t="s">
        <v>46</v>
      </c>
      <c r="M38" s="13" t="s">
        <v>257</v>
      </c>
      <c r="N38" s="13" t="s">
        <v>127</v>
      </c>
      <c r="O38" s="15"/>
      <c r="P38" s="15"/>
    </row>
    <row r="39" customFormat="false" ht="23.85" hidden="false" customHeight="false" outlineLevel="0" collapsed="false">
      <c r="A39" s="13" t="s">
        <v>329</v>
      </c>
      <c r="B39" s="17" t="s">
        <v>55</v>
      </c>
      <c r="C39" s="13" t="s">
        <v>330</v>
      </c>
      <c r="D39" s="13" t="s">
        <v>331</v>
      </c>
      <c r="E39" s="13" t="s">
        <v>332</v>
      </c>
      <c r="F39" s="13" t="s">
        <v>123</v>
      </c>
      <c r="G39" s="13" t="s">
        <v>146</v>
      </c>
      <c r="H39" s="13" t="s">
        <v>256</v>
      </c>
      <c r="I39" s="13" t="s">
        <v>250</v>
      </c>
      <c r="J39" s="13" t="s">
        <v>63</v>
      </c>
      <c r="K39" s="13" t="s">
        <v>60</v>
      </c>
      <c r="L39" s="13" t="s">
        <v>46</v>
      </c>
      <c r="M39" s="13" t="s">
        <v>277</v>
      </c>
      <c r="N39" s="13" t="s">
        <v>127</v>
      </c>
      <c r="O39" s="15"/>
      <c r="P39" s="15"/>
    </row>
    <row r="40" customFormat="false" ht="23.85" hidden="false" customHeight="false" outlineLevel="0" collapsed="false">
      <c r="A40" s="13" t="s">
        <v>333</v>
      </c>
      <c r="B40" s="17" t="s">
        <v>55</v>
      </c>
      <c r="C40" s="13" t="s">
        <v>334</v>
      </c>
      <c r="D40" s="13" t="s">
        <v>335</v>
      </c>
      <c r="E40" s="13" t="s">
        <v>336</v>
      </c>
      <c r="F40" s="13" t="s">
        <v>146</v>
      </c>
      <c r="G40" s="13" t="s">
        <v>123</v>
      </c>
      <c r="H40" s="13" t="s">
        <v>55</v>
      </c>
      <c r="I40" s="13" t="s">
        <v>250</v>
      </c>
      <c r="J40" s="13" t="s">
        <v>63</v>
      </c>
      <c r="K40" s="13" t="s">
        <v>60</v>
      </c>
      <c r="L40" s="13" t="s">
        <v>46</v>
      </c>
      <c r="M40" s="13"/>
      <c r="N40" s="13" t="s">
        <v>127</v>
      </c>
      <c r="O40" s="15"/>
      <c r="P40" s="15"/>
    </row>
    <row r="41" customFormat="false" ht="35.05" hidden="false" customHeight="false" outlineLevel="0" collapsed="false">
      <c r="A41" s="13" t="s">
        <v>337</v>
      </c>
      <c r="B41" s="17" t="s">
        <v>55</v>
      </c>
      <c r="C41" s="13" t="s">
        <v>338</v>
      </c>
      <c r="D41" s="13" t="s">
        <v>339</v>
      </c>
      <c r="E41" s="13" t="s">
        <v>340</v>
      </c>
      <c r="F41" s="13" t="s">
        <v>123</v>
      </c>
      <c r="G41" s="13" t="s">
        <v>341</v>
      </c>
      <c r="H41" s="13" t="s">
        <v>55</v>
      </c>
      <c r="I41" s="13" t="s">
        <v>293</v>
      </c>
      <c r="J41" s="13" t="s">
        <v>66</v>
      </c>
      <c r="K41" s="13" t="s">
        <v>342</v>
      </c>
      <c r="L41" s="13" t="s">
        <v>51</v>
      </c>
      <c r="M41" s="13" t="s">
        <v>343</v>
      </c>
      <c r="N41" s="13" t="s">
        <v>127</v>
      </c>
      <c r="O41" s="15"/>
      <c r="P41" s="15"/>
    </row>
    <row r="42" customFormat="false" ht="35.05" hidden="false" customHeight="false" outlineLevel="0" collapsed="false">
      <c r="A42" s="13" t="s">
        <v>344</v>
      </c>
      <c r="B42" s="17" t="s">
        <v>55</v>
      </c>
      <c r="C42" s="13" t="s">
        <v>345</v>
      </c>
      <c r="D42" s="13" t="s">
        <v>346</v>
      </c>
      <c r="E42" s="13" t="s">
        <v>347</v>
      </c>
      <c r="F42" s="13" t="s">
        <v>146</v>
      </c>
      <c r="G42" s="13" t="s">
        <v>123</v>
      </c>
      <c r="H42" s="13" t="s">
        <v>55</v>
      </c>
      <c r="I42" s="13" t="s">
        <v>250</v>
      </c>
      <c r="J42" s="13" t="s">
        <v>348</v>
      </c>
      <c r="K42" s="13" t="s">
        <v>60</v>
      </c>
      <c r="L42" s="13" t="s">
        <v>51</v>
      </c>
      <c r="M42" s="13" t="s">
        <v>267</v>
      </c>
      <c r="N42" s="13" t="s">
        <v>349</v>
      </c>
      <c r="O42" s="15"/>
      <c r="P42" s="15"/>
    </row>
    <row r="43" customFormat="false" ht="35.05" hidden="false" customHeight="false" outlineLevel="0" collapsed="false">
      <c r="A43" s="13" t="s">
        <v>350</v>
      </c>
      <c r="B43" s="18" t="s">
        <v>56</v>
      </c>
      <c r="C43" s="13" t="s">
        <v>351</v>
      </c>
      <c r="D43" s="13" t="s">
        <v>352</v>
      </c>
      <c r="E43" s="13" t="s">
        <v>353</v>
      </c>
      <c r="F43" s="13" t="s">
        <v>67</v>
      </c>
      <c r="G43" s="13" t="s">
        <v>67</v>
      </c>
      <c r="H43" s="13" t="s">
        <v>354</v>
      </c>
      <c r="I43" s="13" t="s">
        <v>210</v>
      </c>
      <c r="J43" s="13" t="s">
        <v>67</v>
      </c>
      <c r="K43" s="13" t="s">
        <v>60</v>
      </c>
      <c r="L43" s="13" t="s">
        <v>51</v>
      </c>
      <c r="M43" s="13" t="s">
        <v>355</v>
      </c>
      <c r="N43" s="13" t="s">
        <v>349</v>
      </c>
      <c r="O43" s="15"/>
      <c r="P43" s="15"/>
    </row>
    <row r="44" customFormat="false" ht="23.85" hidden="false" customHeight="false" outlineLevel="0" collapsed="false">
      <c r="A44" s="13" t="s">
        <v>356</v>
      </c>
      <c r="B44" s="18" t="s">
        <v>56</v>
      </c>
      <c r="C44" s="13" t="s">
        <v>357</v>
      </c>
      <c r="D44" s="13" t="s">
        <v>358</v>
      </c>
      <c r="E44" s="13" t="s">
        <v>359</v>
      </c>
      <c r="F44" s="13" t="s">
        <v>67</v>
      </c>
      <c r="G44" s="13" t="s">
        <v>67</v>
      </c>
      <c r="H44" s="13" t="s">
        <v>354</v>
      </c>
      <c r="I44" s="13" t="s">
        <v>360</v>
      </c>
      <c r="J44" s="13" t="s">
        <v>67</v>
      </c>
      <c r="K44" s="13" t="s">
        <v>60</v>
      </c>
      <c r="L44" s="13" t="s">
        <v>51</v>
      </c>
      <c r="M44" s="13" t="s">
        <v>361</v>
      </c>
      <c r="N44" s="13" t="s">
        <v>349</v>
      </c>
      <c r="O44" s="15"/>
      <c r="P44" s="15"/>
    </row>
    <row r="45" customFormat="false" ht="35.05" hidden="false" customHeight="false" outlineLevel="0" collapsed="false">
      <c r="A45" s="13" t="s">
        <v>362</v>
      </c>
      <c r="B45" s="18" t="s">
        <v>56</v>
      </c>
      <c r="C45" s="13" t="s">
        <v>363</v>
      </c>
      <c r="D45" s="13" t="s">
        <v>364</v>
      </c>
      <c r="E45" s="13" t="s">
        <v>365</v>
      </c>
      <c r="F45" s="13" t="s">
        <v>67</v>
      </c>
      <c r="G45" s="13" t="s">
        <v>67</v>
      </c>
      <c r="H45" s="13" t="s">
        <v>354</v>
      </c>
      <c r="I45" s="13" t="s">
        <v>250</v>
      </c>
      <c r="J45" s="13" t="s">
        <v>67</v>
      </c>
      <c r="K45" s="13" t="s">
        <v>60</v>
      </c>
      <c r="L45" s="13" t="s">
        <v>51</v>
      </c>
      <c r="M45" s="13" t="s">
        <v>257</v>
      </c>
      <c r="N45" s="13" t="s">
        <v>349</v>
      </c>
      <c r="O45" s="15"/>
      <c r="P45" s="15"/>
    </row>
    <row r="46" customFormat="false" ht="35.05" hidden="false" customHeight="false" outlineLevel="0" collapsed="false">
      <c r="A46" s="13" t="s">
        <v>366</v>
      </c>
      <c r="B46" s="18" t="s">
        <v>56</v>
      </c>
      <c r="C46" s="13" t="s">
        <v>367</v>
      </c>
      <c r="D46" s="13" t="s">
        <v>368</v>
      </c>
      <c r="E46" s="13" t="s">
        <v>369</v>
      </c>
      <c r="F46" s="13" t="s">
        <v>67</v>
      </c>
      <c r="G46" s="13" t="s">
        <v>67</v>
      </c>
      <c r="H46" s="13" t="s">
        <v>354</v>
      </c>
      <c r="I46" s="13" t="s">
        <v>185</v>
      </c>
      <c r="J46" s="13" t="s">
        <v>67</v>
      </c>
      <c r="K46" s="13" t="s">
        <v>60</v>
      </c>
      <c r="L46" s="13" t="s">
        <v>51</v>
      </c>
      <c r="M46" s="13" t="s">
        <v>370</v>
      </c>
      <c r="N46" s="13" t="s">
        <v>349</v>
      </c>
      <c r="O46" s="15"/>
      <c r="P46" s="15"/>
    </row>
    <row r="47" customFormat="false" ht="23.85" hidden="false" customHeight="false" outlineLevel="0" collapsed="false">
      <c r="A47" s="13" t="s">
        <v>371</v>
      </c>
      <c r="B47" s="18" t="s">
        <v>56</v>
      </c>
      <c r="C47" s="13" t="s">
        <v>372</v>
      </c>
      <c r="D47" s="13" t="s">
        <v>373</v>
      </c>
      <c r="E47" s="13" t="s">
        <v>374</v>
      </c>
      <c r="F47" s="13" t="s">
        <v>67</v>
      </c>
      <c r="G47" s="13" t="s">
        <v>67</v>
      </c>
      <c r="H47" s="13" t="s">
        <v>354</v>
      </c>
      <c r="I47" s="13" t="s">
        <v>210</v>
      </c>
      <c r="J47" s="13" t="s">
        <v>67</v>
      </c>
      <c r="K47" s="13" t="s">
        <v>60</v>
      </c>
      <c r="L47" s="13" t="s">
        <v>51</v>
      </c>
      <c r="M47" s="13"/>
      <c r="N47" s="13" t="s">
        <v>349</v>
      </c>
      <c r="O47" s="15"/>
      <c r="P47" s="15"/>
    </row>
    <row r="48" customFormat="false" ht="35.05" hidden="false" customHeight="false" outlineLevel="0" collapsed="false">
      <c r="A48" s="13" t="s">
        <v>375</v>
      </c>
      <c r="B48" s="18" t="s">
        <v>56</v>
      </c>
      <c r="C48" s="13" t="s">
        <v>376</v>
      </c>
      <c r="D48" s="13" t="s">
        <v>377</v>
      </c>
      <c r="E48" s="13" t="s">
        <v>378</v>
      </c>
      <c r="F48" s="13" t="s">
        <v>379</v>
      </c>
      <c r="G48" s="13" t="s">
        <v>146</v>
      </c>
      <c r="H48" s="13" t="s">
        <v>354</v>
      </c>
      <c r="I48" s="13" t="s">
        <v>191</v>
      </c>
      <c r="J48" s="13" t="s">
        <v>63</v>
      </c>
      <c r="K48" s="13" t="s">
        <v>60</v>
      </c>
      <c r="L48" s="13" t="s">
        <v>51</v>
      </c>
      <c r="M48" s="13" t="s">
        <v>221</v>
      </c>
      <c r="N48" s="13" t="s">
        <v>349</v>
      </c>
      <c r="O48" s="15"/>
      <c r="P48" s="15"/>
    </row>
    <row r="49" customFormat="false" ht="23.85" hidden="false" customHeight="false" outlineLevel="0" collapsed="false">
      <c r="A49" s="13" t="s">
        <v>239</v>
      </c>
      <c r="B49" s="18" t="s">
        <v>56</v>
      </c>
      <c r="C49" s="13" t="s">
        <v>380</v>
      </c>
      <c r="D49" s="13" t="s">
        <v>381</v>
      </c>
      <c r="E49" s="13" t="s">
        <v>382</v>
      </c>
      <c r="F49" s="13" t="s">
        <v>123</v>
      </c>
      <c r="G49" s="13" t="s">
        <v>146</v>
      </c>
      <c r="H49" s="13" t="s">
        <v>354</v>
      </c>
      <c r="I49" s="13" t="s">
        <v>191</v>
      </c>
      <c r="J49" s="13" t="s">
        <v>67</v>
      </c>
      <c r="K49" s="13" t="s">
        <v>60</v>
      </c>
      <c r="L49" s="13" t="s">
        <v>51</v>
      </c>
      <c r="M49" s="13" t="s">
        <v>383</v>
      </c>
      <c r="N49" s="13" t="s">
        <v>349</v>
      </c>
      <c r="O49" s="15"/>
      <c r="P49" s="15"/>
    </row>
    <row r="50" customFormat="false" ht="23.85" hidden="false" customHeight="false" outlineLevel="0" collapsed="false">
      <c r="A50" s="13" t="s">
        <v>384</v>
      </c>
      <c r="B50" s="18" t="s">
        <v>56</v>
      </c>
      <c r="C50" s="13" t="s">
        <v>385</v>
      </c>
      <c r="D50" s="13" t="s">
        <v>386</v>
      </c>
      <c r="E50" s="13" t="s">
        <v>183</v>
      </c>
      <c r="F50" s="13" t="s">
        <v>65</v>
      </c>
      <c r="G50" s="13" t="s">
        <v>387</v>
      </c>
      <c r="H50" s="13" t="s">
        <v>354</v>
      </c>
      <c r="I50" s="13" t="s">
        <v>210</v>
      </c>
      <c r="J50" s="13" t="s">
        <v>67</v>
      </c>
      <c r="K50" s="13" t="s">
        <v>60</v>
      </c>
      <c r="L50" s="13" t="s">
        <v>51</v>
      </c>
      <c r="M50" s="13" t="s">
        <v>221</v>
      </c>
      <c r="N50" s="13" t="s">
        <v>349</v>
      </c>
      <c r="O50" s="15"/>
      <c r="P50" s="15"/>
    </row>
  </sheetData>
  <autoFilter ref="A1:P50"/>
  <dataValidations count="2">
    <dataValidation allowBlank="true" errorStyle="stop" operator="between" showDropDown="false" showErrorMessage="false" showInputMessage="false" sqref="K2:K50" type="list">
      <formula1>"Must,Should,Could,Won't"</formula1>
      <formula2>0</formula2>
    </dataValidation>
    <dataValidation allowBlank="true" errorStyle="stop" operator="between" showDropDown="false" showErrorMessage="false" showInputMessage="false" sqref="L2:L50" type="list">
      <formula1>"Draft,Handoff (outside J1 design scope),Requirement on NRS,Open,To confirm,Proposed,Agreed,Rejected"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36"/>
  </cols>
  <sheetData>
    <row r="1" customFormat="false" ht="30" hidden="false" customHeight="true" outlineLevel="0" collapsed="false">
      <c r="A1" s="7" t="s">
        <v>105</v>
      </c>
      <c r="B1" s="7" t="s">
        <v>75</v>
      </c>
      <c r="C1" s="7" t="s">
        <v>388</v>
      </c>
      <c r="D1" s="7" t="s">
        <v>389</v>
      </c>
      <c r="E1" s="7" t="s">
        <v>390</v>
      </c>
      <c r="F1" s="7" t="s">
        <v>391</v>
      </c>
      <c r="G1" s="7" t="s">
        <v>392</v>
      </c>
      <c r="H1" s="7" t="s">
        <v>393</v>
      </c>
      <c r="I1" s="7" t="s">
        <v>394</v>
      </c>
    </row>
    <row r="2" customFormat="false" ht="23.85" hidden="false" customHeight="false" outlineLevel="0" collapsed="false">
      <c r="A2" s="13" t="s">
        <v>395</v>
      </c>
      <c r="B2" s="13" t="s">
        <v>396</v>
      </c>
      <c r="C2" s="13" t="s">
        <v>397</v>
      </c>
      <c r="D2" s="13" t="s">
        <v>122</v>
      </c>
      <c r="E2" s="13" t="s">
        <v>398</v>
      </c>
      <c r="F2" s="13" t="s">
        <v>399</v>
      </c>
      <c r="G2" s="13" t="s">
        <v>125</v>
      </c>
      <c r="H2" s="13" t="s">
        <v>125</v>
      </c>
      <c r="I2" s="13" t="s">
        <v>400</v>
      </c>
    </row>
    <row r="3" customFormat="false" ht="15" hidden="false" customHeight="false" outlineLevel="0" collapsed="false">
      <c r="A3" s="13" t="s">
        <v>401</v>
      </c>
      <c r="B3" s="13" t="s">
        <v>402</v>
      </c>
      <c r="C3" s="13" t="s">
        <v>403</v>
      </c>
      <c r="D3" s="13" t="s">
        <v>287</v>
      </c>
      <c r="E3" s="13" t="s">
        <v>122</v>
      </c>
      <c r="F3" s="13" t="s">
        <v>404</v>
      </c>
      <c r="G3" s="13" t="s">
        <v>405</v>
      </c>
      <c r="H3" s="13" t="s">
        <v>406</v>
      </c>
      <c r="I3" s="13" t="s">
        <v>407</v>
      </c>
    </row>
    <row r="4" customFormat="false" ht="15" hidden="false" customHeight="false" outlineLevel="0" collapsed="false">
      <c r="A4" s="13" t="s">
        <v>408</v>
      </c>
      <c r="B4" s="13" t="s">
        <v>409</v>
      </c>
      <c r="C4" s="13" t="s">
        <v>410</v>
      </c>
      <c r="D4" s="13" t="s">
        <v>287</v>
      </c>
      <c r="E4" s="13" t="s">
        <v>122</v>
      </c>
      <c r="F4" s="13" t="s">
        <v>411</v>
      </c>
      <c r="G4" s="13" t="s">
        <v>405</v>
      </c>
      <c r="H4" s="13" t="s">
        <v>406</v>
      </c>
      <c r="I4" s="13" t="s">
        <v>412</v>
      </c>
    </row>
    <row r="5" customFormat="false" ht="15" hidden="false" customHeight="false" outlineLevel="0" collapsed="false">
      <c r="A5" s="13" t="s">
        <v>413</v>
      </c>
      <c r="B5" s="13" t="s">
        <v>414</v>
      </c>
      <c r="C5" s="13" t="s">
        <v>415</v>
      </c>
      <c r="D5" s="13" t="s">
        <v>122</v>
      </c>
      <c r="E5" s="13" t="s">
        <v>416</v>
      </c>
      <c r="F5" s="13" t="s">
        <v>417</v>
      </c>
      <c r="G5" s="13" t="s">
        <v>125</v>
      </c>
      <c r="H5" s="13" t="s">
        <v>125</v>
      </c>
      <c r="I5" s="13" t="s">
        <v>418</v>
      </c>
    </row>
    <row r="6" customFormat="false" ht="15" hidden="false" customHeight="false" outlineLevel="0" collapsed="false">
      <c r="A6" s="13" t="s">
        <v>419</v>
      </c>
      <c r="B6" s="13" t="s">
        <v>420</v>
      </c>
      <c r="C6" s="13" t="s">
        <v>421</v>
      </c>
      <c r="D6" s="13" t="s">
        <v>226</v>
      </c>
      <c r="E6" s="13" t="s">
        <v>422</v>
      </c>
      <c r="F6" s="13" t="s">
        <v>423</v>
      </c>
      <c r="G6" s="13" t="s">
        <v>405</v>
      </c>
      <c r="H6" s="13" t="s">
        <v>406</v>
      </c>
      <c r="I6" s="13" t="s">
        <v>424</v>
      </c>
    </row>
    <row r="7" customFormat="false" ht="15" hidden="false" customHeight="false" outlineLevel="0" collapsed="false">
      <c r="A7" s="13" t="s">
        <v>425</v>
      </c>
      <c r="B7" s="13" t="s">
        <v>426</v>
      </c>
      <c r="C7" s="13" t="s">
        <v>427</v>
      </c>
      <c r="D7" s="13" t="s">
        <v>422</v>
      </c>
      <c r="E7" s="13" t="s">
        <v>146</v>
      </c>
      <c r="F7" s="13" t="s">
        <v>428</v>
      </c>
      <c r="G7" s="13" t="s">
        <v>429</v>
      </c>
      <c r="H7" s="13" t="s">
        <v>429</v>
      </c>
      <c r="I7" s="13" t="s">
        <v>430</v>
      </c>
    </row>
    <row r="8" customFormat="false" ht="15" hidden="false" customHeight="false" outlineLevel="0" collapsed="false">
      <c r="A8" s="13" t="s">
        <v>431</v>
      </c>
      <c r="B8" s="13" t="s">
        <v>432</v>
      </c>
      <c r="C8" s="13" t="s">
        <v>433</v>
      </c>
      <c r="D8" s="13" t="s">
        <v>226</v>
      </c>
      <c r="E8" s="13" t="s">
        <v>227</v>
      </c>
      <c r="F8" s="13" t="s">
        <v>434</v>
      </c>
      <c r="G8" s="13" t="s">
        <v>429</v>
      </c>
      <c r="H8" s="13" t="s">
        <v>429</v>
      </c>
      <c r="I8" s="13" t="s">
        <v>435</v>
      </c>
    </row>
    <row r="9" customFormat="false" ht="15" hidden="false" customHeight="false" outlineLevel="0" collapsed="false">
      <c r="A9" s="13" t="s">
        <v>436</v>
      </c>
      <c r="B9" s="13" t="s">
        <v>233</v>
      </c>
      <c r="C9" s="13" t="s">
        <v>437</v>
      </c>
      <c r="D9" s="13" t="s">
        <v>146</v>
      </c>
      <c r="E9" s="13" t="s">
        <v>233</v>
      </c>
      <c r="F9" s="13" t="s">
        <v>438</v>
      </c>
      <c r="G9" s="13" t="s">
        <v>429</v>
      </c>
      <c r="H9" s="13" t="s">
        <v>439</v>
      </c>
      <c r="I9" s="13" t="s">
        <v>440</v>
      </c>
    </row>
    <row r="10" customFormat="false" ht="15" hidden="false" customHeight="false" outlineLevel="0" collapsed="false">
      <c r="A10" s="13" t="s">
        <v>441</v>
      </c>
      <c r="B10" s="13" t="s">
        <v>442</v>
      </c>
      <c r="C10" s="13" t="s">
        <v>443</v>
      </c>
      <c r="D10" s="13" t="s">
        <v>226</v>
      </c>
      <c r="E10" s="13" t="s">
        <v>422</v>
      </c>
      <c r="F10" s="13" t="s">
        <v>444</v>
      </c>
      <c r="G10" s="13" t="s">
        <v>405</v>
      </c>
      <c r="H10" s="13" t="s">
        <v>406</v>
      </c>
      <c r="I10" s="13" t="s">
        <v>445</v>
      </c>
    </row>
    <row r="11" customFormat="false" ht="23.85" hidden="false" customHeight="false" outlineLevel="0" collapsed="false">
      <c r="A11" s="13" t="s">
        <v>446</v>
      </c>
      <c r="B11" s="13" t="s">
        <v>447</v>
      </c>
      <c r="C11" s="13" t="s">
        <v>443</v>
      </c>
      <c r="D11" s="13" t="s">
        <v>422</v>
      </c>
      <c r="E11" s="13" t="s">
        <v>448</v>
      </c>
      <c r="F11" s="13" t="s">
        <v>449</v>
      </c>
      <c r="G11" s="13" t="s">
        <v>125</v>
      </c>
      <c r="H11" s="13" t="s">
        <v>125</v>
      </c>
      <c r="I11" s="13" t="s">
        <v>450</v>
      </c>
    </row>
    <row r="12" customFormat="false" ht="15" hidden="false" customHeight="false" outlineLevel="0" collapsed="false">
      <c r="A12" s="13" t="s">
        <v>451</v>
      </c>
      <c r="B12" s="13" t="s">
        <v>452</v>
      </c>
      <c r="C12" s="13" t="s">
        <v>453</v>
      </c>
      <c r="D12" s="13" t="s">
        <v>454</v>
      </c>
      <c r="E12" s="13" t="s">
        <v>455</v>
      </c>
      <c r="F12" s="13" t="s">
        <v>456</v>
      </c>
      <c r="G12" s="13" t="s">
        <v>457</v>
      </c>
      <c r="H12" s="13" t="s">
        <v>429</v>
      </c>
      <c r="I12" s="13" t="s">
        <v>458</v>
      </c>
    </row>
    <row r="13" customFormat="false" ht="15" hidden="false" customHeight="false" outlineLevel="0" collapsed="false">
      <c r="A13" s="13" t="s">
        <v>459</v>
      </c>
      <c r="B13" s="13" t="s">
        <v>460</v>
      </c>
      <c r="C13" s="13" t="s">
        <v>461</v>
      </c>
      <c r="D13" s="13" t="s">
        <v>454</v>
      </c>
      <c r="E13" s="13" t="s">
        <v>462</v>
      </c>
      <c r="F13" s="13" t="s">
        <v>463</v>
      </c>
      <c r="G13" s="13" t="s">
        <v>457</v>
      </c>
      <c r="H13" s="13" t="s">
        <v>429</v>
      </c>
      <c r="I13" s="13" t="s">
        <v>464</v>
      </c>
    </row>
    <row r="14" customFormat="false" ht="15" hidden="false" customHeight="false" outlineLevel="0" collapsed="false">
      <c r="A14" s="13" t="s">
        <v>465</v>
      </c>
      <c r="B14" s="13" t="s">
        <v>466</v>
      </c>
      <c r="C14" s="13" t="s">
        <v>467</v>
      </c>
      <c r="D14" s="13" t="s">
        <v>146</v>
      </c>
      <c r="E14" s="13" t="s">
        <v>262</v>
      </c>
      <c r="F14" s="13" t="s">
        <v>468</v>
      </c>
      <c r="G14" s="13" t="s">
        <v>429</v>
      </c>
      <c r="H14" s="13" t="s">
        <v>429</v>
      </c>
      <c r="I14" s="13" t="s">
        <v>469</v>
      </c>
    </row>
    <row r="15" customFormat="false" ht="15" hidden="false" customHeight="false" outlineLevel="0" collapsed="false">
      <c r="A15" s="13" t="s">
        <v>470</v>
      </c>
      <c r="B15" s="13" t="s">
        <v>188</v>
      </c>
      <c r="C15" s="13" t="s">
        <v>188</v>
      </c>
      <c r="D15" s="13" t="s">
        <v>146</v>
      </c>
      <c r="E15" s="13" t="s">
        <v>137</v>
      </c>
      <c r="F15" s="13" t="s">
        <v>471</v>
      </c>
      <c r="G15" s="13" t="s">
        <v>429</v>
      </c>
      <c r="H15" s="13" t="s">
        <v>429</v>
      </c>
      <c r="I15" s="13" t="s">
        <v>472</v>
      </c>
    </row>
    <row r="16" customFormat="false" ht="23.85" hidden="false" customHeight="false" outlineLevel="0" collapsed="false">
      <c r="A16" s="13" t="s">
        <v>473</v>
      </c>
      <c r="B16" s="13" t="s">
        <v>474</v>
      </c>
      <c r="C16" s="13" t="s">
        <v>475</v>
      </c>
      <c r="D16" s="13" t="s">
        <v>454</v>
      </c>
      <c r="E16" s="13" t="s">
        <v>66</v>
      </c>
      <c r="F16" s="13" t="s">
        <v>476</v>
      </c>
      <c r="G16" s="13" t="s">
        <v>125</v>
      </c>
      <c r="H16" s="13" t="s">
        <v>125</v>
      </c>
      <c r="I16" s="13" t="s">
        <v>477</v>
      </c>
    </row>
  </sheetData>
  <autoFilter ref="A1:I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34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7" t="s">
        <v>105</v>
      </c>
      <c r="B1" s="7" t="s">
        <v>478</v>
      </c>
      <c r="C1" s="7" t="s">
        <v>479</v>
      </c>
      <c r="D1" s="7" t="s">
        <v>480</v>
      </c>
      <c r="E1" s="7" t="s">
        <v>481</v>
      </c>
      <c r="F1" s="7" t="s">
        <v>482</v>
      </c>
      <c r="G1" s="7" t="s">
        <v>391</v>
      </c>
      <c r="H1" s="7" t="s">
        <v>483</v>
      </c>
      <c r="I1" s="7" t="s">
        <v>484</v>
      </c>
      <c r="J1" s="7" t="s">
        <v>394</v>
      </c>
    </row>
    <row r="2" customFormat="false" ht="23.85" hidden="false" customHeight="false" outlineLevel="0" collapsed="false">
      <c r="A2" s="13" t="s">
        <v>289</v>
      </c>
      <c r="B2" s="13" t="s">
        <v>290</v>
      </c>
      <c r="C2" s="13" t="s">
        <v>55</v>
      </c>
      <c r="D2" s="13" t="s">
        <v>422</v>
      </c>
      <c r="E2" s="13" t="s">
        <v>454</v>
      </c>
      <c r="F2" s="13" t="s">
        <v>485</v>
      </c>
      <c r="G2" s="13" t="s">
        <v>486</v>
      </c>
      <c r="H2" s="13" t="s">
        <v>487</v>
      </c>
      <c r="I2" s="13" t="s">
        <v>488</v>
      </c>
      <c r="J2" s="13"/>
    </row>
    <row r="3" customFormat="false" ht="23.85" hidden="false" customHeight="false" outlineLevel="0" collapsed="false">
      <c r="A3" s="13" t="s">
        <v>294</v>
      </c>
      <c r="B3" s="13" t="s">
        <v>295</v>
      </c>
      <c r="C3" s="13" t="s">
        <v>55</v>
      </c>
      <c r="D3" s="13" t="s">
        <v>146</v>
      </c>
      <c r="E3" s="13" t="s">
        <v>489</v>
      </c>
      <c r="F3" s="13" t="s">
        <v>250</v>
      </c>
      <c r="G3" s="13" t="s">
        <v>490</v>
      </c>
      <c r="H3" s="13" t="s">
        <v>491</v>
      </c>
      <c r="I3" s="13" t="s">
        <v>492</v>
      </c>
      <c r="J3" s="13" t="s">
        <v>493</v>
      </c>
    </row>
    <row r="4" customFormat="false" ht="23.85" hidden="false" customHeight="false" outlineLevel="0" collapsed="false">
      <c r="A4" s="13" t="s">
        <v>298</v>
      </c>
      <c r="B4" s="13" t="s">
        <v>299</v>
      </c>
      <c r="C4" s="13" t="s">
        <v>55</v>
      </c>
      <c r="D4" s="13" t="s">
        <v>146</v>
      </c>
      <c r="E4" s="13" t="s">
        <v>489</v>
      </c>
      <c r="F4" s="13" t="s">
        <v>250</v>
      </c>
      <c r="G4" s="13" t="s">
        <v>494</v>
      </c>
      <c r="H4" s="13" t="s">
        <v>495</v>
      </c>
      <c r="I4" s="13" t="s">
        <v>496</v>
      </c>
      <c r="J4" s="13"/>
    </row>
    <row r="5" customFormat="false" ht="23.85" hidden="false" customHeight="false" outlineLevel="0" collapsed="false">
      <c r="A5" s="13" t="s">
        <v>302</v>
      </c>
      <c r="B5" s="13" t="s">
        <v>497</v>
      </c>
      <c r="C5" s="13" t="s">
        <v>498</v>
      </c>
      <c r="D5" s="13" t="s">
        <v>454</v>
      </c>
      <c r="E5" s="13" t="s">
        <v>146</v>
      </c>
      <c r="F5" s="13" t="s">
        <v>253</v>
      </c>
      <c r="G5" s="13" t="s">
        <v>499</v>
      </c>
      <c r="H5" s="13" t="s">
        <v>500</v>
      </c>
      <c r="I5" s="13" t="s">
        <v>501</v>
      </c>
      <c r="J5" s="13"/>
    </row>
    <row r="6" customFormat="false" ht="15" hidden="false" customHeight="false" outlineLevel="0" collapsed="false">
      <c r="A6" s="13" t="s">
        <v>307</v>
      </c>
      <c r="B6" s="13" t="s">
        <v>308</v>
      </c>
      <c r="C6" s="13" t="s">
        <v>55</v>
      </c>
      <c r="D6" s="13" t="s">
        <v>146</v>
      </c>
      <c r="E6" s="13" t="s">
        <v>454</v>
      </c>
      <c r="F6" s="13" t="s">
        <v>250</v>
      </c>
      <c r="G6" s="13" t="s">
        <v>502</v>
      </c>
      <c r="H6" s="13" t="s">
        <v>503</v>
      </c>
      <c r="I6" s="13" t="s">
        <v>504</v>
      </c>
      <c r="J6" s="13" t="s">
        <v>505</v>
      </c>
    </row>
    <row r="7" customFormat="false" ht="23.85" hidden="false" customHeight="false" outlineLevel="0" collapsed="false">
      <c r="A7" s="13" t="s">
        <v>311</v>
      </c>
      <c r="B7" s="13" t="s">
        <v>506</v>
      </c>
      <c r="C7" s="13" t="s">
        <v>55</v>
      </c>
      <c r="D7" s="13" t="s">
        <v>61</v>
      </c>
      <c r="E7" s="13" t="s">
        <v>454</v>
      </c>
      <c r="F7" s="13" t="s">
        <v>250</v>
      </c>
      <c r="G7" s="13" t="s">
        <v>507</v>
      </c>
      <c r="H7" s="13" t="s">
        <v>508</v>
      </c>
      <c r="I7" s="13" t="s">
        <v>509</v>
      </c>
      <c r="J7" s="13" t="s">
        <v>510</v>
      </c>
    </row>
    <row r="8" customFormat="false" ht="23.85" hidden="false" customHeight="false" outlineLevel="0" collapsed="false">
      <c r="A8" s="13" t="s">
        <v>316</v>
      </c>
      <c r="B8" s="13" t="s">
        <v>511</v>
      </c>
      <c r="C8" s="13" t="s">
        <v>498</v>
      </c>
      <c r="D8" s="13" t="s">
        <v>454</v>
      </c>
      <c r="E8" s="13" t="s">
        <v>146</v>
      </c>
      <c r="F8" s="13" t="s">
        <v>253</v>
      </c>
      <c r="G8" s="13" t="s">
        <v>512</v>
      </c>
      <c r="H8" s="13" t="s">
        <v>513</v>
      </c>
      <c r="I8" s="13" t="s">
        <v>514</v>
      </c>
      <c r="J8" s="13"/>
    </row>
    <row r="9" customFormat="false" ht="23.85" hidden="false" customHeight="false" outlineLevel="0" collapsed="false">
      <c r="A9" s="13" t="s">
        <v>320</v>
      </c>
      <c r="B9" s="13" t="s">
        <v>321</v>
      </c>
      <c r="C9" s="13" t="s">
        <v>55</v>
      </c>
      <c r="D9" s="13" t="s">
        <v>146</v>
      </c>
      <c r="E9" s="13" t="s">
        <v>454</v>
      </c>
      <c r="F9" s="13" t="s">
        <v>250</v>
      </c>
      <c r="G9" s="13" t="s">
        <v>515</v>
      </c>
      <c r="H9" s="13" t="s">
        <v>516</v>
      </c>
      <c r="I9" s="13" t="s">
        <v>517</v>
      </c>
      <c r="J9" s="13" t="s">
        <v>518</v>
      </c>
    </row>
    <row r="10" customFormat="false" ht="23.85" hidden="false" customHeight="false" outlineLevel="0" collapsed="false">
      <c r="A10" s="13" t="s">
        <v>324</v>
      </c>
      <c r="B10" s="13" t="s">
        <v>325</v>
      </c>
      <c r="C10" s="13" t="s">
        <v>55</v>
      </c>
      <c r="D10" s="13" t="s">
        <v>454</v>
      </c>
      <c r="E10" s="13" t="s">
        <v>519</v>
      </c>
      <c r="F10" s="13" t="s">
        <v>485</v>
      </c>
      <c r="G10" s="13" t="s">
        <v>520</v>
      </c>
      <c r="H10" s="13" t="s">
        <v>521</v>
      </c>
      <c r="I10" s="13" t="s">
        <v>522</v>
      </c>
      <c r="J10" s="13"/>
    </row>
    <row r="11" customFormat="false" ht="23.85" hidden="false" customHeight="false" outlineLevel="0" collapsed="false">
      <c r="A11" s="13" t="s">
        <v>329</v>
      </c>
      <c r="B11" s="13" t="s">
        <v>330</v>
      </c>
      <c r="C11" s="13" t="s">
        <v>498</v>
      </c>
      <c r="D11" s="13" t="s">
        <v>454</v>
      </c>
      <c r="E11" s="13" t="s">
        <v>146</v>
      </c>
      <c r="F11" s="13" t="s">
        <v>523</v>
      </c>
      <c r="G11" s="13" t="s">
        <v>524</v>
      </c>
      <c r="H11" s="13" t="s">
        <v>525</v>
      </c>
      <c r="I11" s="13" t="s">
        <v>526</v>
      </c>
      <c r="J11" s="13" t="s">
        <v>527</v>
      </c>
    </row>
    <row r="12" customFormat="false" ht="15" hidden="false" customHeight="false" outlineLevel="0" collapsed="false">
      <c r="A12" s="13" t="s">
        <v>333</v>
      </c>
      <c r="B12" s="13" t="s">
        <v>334</v>
      </c>
      <c r="C12" s="13" t="s">
        <v>55</v>
      </c>
      <c r="D12" s="13" t="s">
        <v>146</v>
      </c>
      <c r="E12" s="13" t="s">
        <v>454</v>
      </c>
      <c r="F12" s="13" t="s">
        <v>250</v>
      </c>
      <c r="G12" s="13" t="s">
        <v>528</v>
      </c>
      <c r="H12" s="13" t="s">
        <v>525</v>
      </c>
      <c r="I12" s="13" t="s">
        <v>529</v>
      </c>
      <c r="J12" s="13"/>
    </row>
    <row r="13" customFormat="false" ht="23.85" hidden="false" customHeight="false" outlineLevel="0" collapsed="false">
      <c r="A13" s="13" t="s">
        <v>337</v>
      </c>
      <c r="B13" s="13" t="s">
        <v>338</v>
      </c>
      <c r="C13" s="13" t="s">
        <v>55</v>
      </c>
      <c r="D13" s="13" t="s">
        <v>454</v>
      </c>
      <c r="E13" s="13" t="s">
        <v>530</v>
      </c>
      <c r="F13" s="13" t="s">
        <v>293</v>
      </c>
      <c r="G13" s="13" t="s">
        <v>531</v>
      </c>
      <c r="H13" s="13" t="s">
        <v>125</v>
      </c>
      <c r="I13" s="13" t="s">
        <v>125</v>
      </c>
      <c r="J13" s="13" t="s">
        <v>532</v>
      </c>
    </row>
    <row r="14" customFormat="false" ht="23.85" hidden="false" customHeight="false" outlineLevel="0" collapsed="false">
      <c r="A14" s="13" t="s">
        <v>344</v>
      </c>
      <c r="B14" s="13" t="s">
        <v>533</v>
      </c>
      <c r="C14" s="13" t="s">
        <v>55</v>
      </c>
      <c r="D14" s="13" t="s">
        <v>146</v>
      </c>
      <c r="E14" s="13" t="s">
        <v>454</v>
      </c>
      <c r="F14" s="13" t="s">
        <v>250</v>
      </c>
      <c r="G14" s="13" t="s">
        <v>534</v>
      </c>
      <c r="H14" s="13" t="s">
        <v>535</v>
      </c>
      <c r="I14" s="13" t="s">
        <v>125</v>
      </c>
      <c r="J14" s="13" t="s">
        <v>536</v>
      </c>
    </row>
  </sheetData>
  <autoFilter ref="A1:J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7" t="s">
        <v>537</v>
      </c>
      <c r="B1" s="7" t="s">
        <v>116</v>
      </c>
      <c r="C1" s="7" t="s">
        <v>391</v>
      </c>
      <c r="D1" s="7" t="s">
        <v>538</v>
      </c>
      <c r="E1" s="7" t="s">
        <v>539</v>
      </c>
    </row>
    <row r="2" customFormat="false" ht="15" hidden="false" customHeight="false" outlineLevel="0" collapsed="false">
      <c r="A2" s="13" t="s">
        <v>540</v>
      </c>
      <c r="B2" s="13" t="s">
        <v>146</v>
      </c>
      <c r="C2" s="13" t="s">
        <v>434</v>
      </c>
      <c r="D2" s="13" t="s">
        <v>541</v>
      </c>
      <c r="E2" s="13" t="s">
        <v>542</v>
      </c>
    </row>
    <row r="3" customFormat="false" ht="15" hidden="false" customHeight="false" outlineLevel="0" collapsed="false">
      <c r="A3" s="13" t="s">
        <v>543</v>
      </c>
      <c r="B3" s="13" t="s">
        <v>146</v>
      </c>
      <c r="C3" s="13" t="s">
        <v>544</v>
      </c>
      <c r="D3" s="13" t="s">
        <v>545</v>
      </c>
      <c r="E3" s="13" t="s">
        <v>546</v>
      </c>
    </row>
    <row r="4" customFormat="false" ht="15" hidden="false" customHeight="false" outlineLevel="0" collapsed="false">
      <c r="A4" s="13" t="s">
        <v>547</v>
      </c>
      <c r="B4" s="13" t="s">
        <v>146</v>
      </c>
      <c r="C4" s="13" t="s">
        <v>548</v>
      </c>
      <c r="D4" s="13" t="s">
        <v>549</v>
      </c>
      <c r="E4" s="13" t="s">
        <v>550</v>
      </c>
    </row>
    <row r="5" customFormat="false" ht="15" hidden="false" customHeight="false" outlineLevel="0" collapsed="false">
      <c r="A5" s="13" t="s">
        <v>551</v>
      </c>
      <c r="B5" s="13" t="s">
        <v>61</v>
      </c>
      <c r="C5" s="13" t="s">
        <v>552</v>
      </c>
      <c r="D5" s="13" t="s">
        <v>553</v>
      </c>
      <c r="E5" s="13" t="s">
        <v>554</v>
      </c>
    </row>
    <row r="6" customFormat="false" ht="15" hidden="false" customHeight="false" outlineLevel="0" collapsed="false">
      <c r="A6" s="13" t="s">
        <v>555</v>
      </c>
      <c r="B6" s="13" t="s">
        <v>61</v>
      </c>
      <c r="C6" s="13" t="s">
        <v>556</v>
      </c>
      <c r="D6" s="13" t="s">
        <v>557</v>
      </c>
      <c r="E6" s="13" t="s">
        <v>554</v>
      </c>
    </row>
    <row r="7" customFormat="false" ht="15" hidden="false" customHeight="false" outlineLevel="0" collapsed="false">
      <c r="A7" s="13" t="s">
        <v>558</v>
      </c>
      <c r="B7" s="13" t="s">
        <v>137</v>
      </c>
      <c r="C7" s="13" t="s">
        <v>559</v>
      </c>
      <c r="D7" s="13" t="s">
        <v>560</v>
      </c>
      <c r="E7" s="13" t="s">
        <v>561</v>
      </c>
    </row>
    <row r="8" customFormat="false" ht="15" hidden="false" customHeight="false" outlineLevel="0" collapsed="false">
      <c r="A8" s="13" t="s">
        <v>562</v>
      </c>
      <c r="B8" s="13" t="s">
        <v>123</v>
      </c>
      <c r="C8" s="13" t="s">
        <v>563</v>
      </c>
      <c r="D8" s="13" t="s">
        <v>564</v>
      </c>
      <c r="E8" s="13" t="s">
        <v>565</v>
      </c>
    </row>
    <row r="9" customFormat="false" ht="23.85" hidden="false" customHeight="false" outlineLevel="0" collapsed="false">
      <c r="A9" s="13" t="s">
        <v>566</v>
      </c>
      <c r="B9" s="13" t="s">
        <v>123</v>
      </c>
      <c r="C9" s="13" t="s">
        <v>567</v>
      </c>
      <c r="D9" s="13" t="s">
        <v>568</v>
      </c>
      <c r="E9" s="13" t="s">
        <v>565</v>
      </c>
    </row>
    <row r="10" customFormat="false" ht="15" hidden="false" customHeight="false" outlineLevel="0" collapsed="false">
      <c r="A10" s="13" t="s">
        <v>569</v>
      </c>
      <c r="B10" s="13" t="s">
        <v>123</v>
      </c>
      <c r="C10" s="13" t="s">
        <v>570</v>
      </c>
      <c r="D10" s="13" t="s">
        <v>571</v>
      </c>
      <c r="E10" s="13" t="s">
        <v>565</v>
      </c>
    </row>
    <row r="11" customFormat="false" ht="15" hidden="false" customHeight="false" outlineLevel="0" collapsed="false">
      <c r="A11" s="13" t="s">
        <v>572</v>
      </c>
      <c r="B11" s="13" t="s">
        <v>145</v>
      </c>
      <c r="C11" s="13" t="s">
        <v>573</v>
      </c>
      <c r="D11" s="13" t="s">
        <v>574</v>
      </c>
      <c r="E11" s="13" t="s">
        <v>575</v>
      </c>
    </row>
    <row r="12" customFormat="false" ht="15" hidden="false" customHeight="false" outlineLevel="0" collapsed="false">
      <c r="A12" s="13" t="s">
        <v>576</v>
      </c>
      <c r="B12" s="13" t="s">
        <v>122</v>
      </c>
      <c r="C12" s="13" t="s">
        <v>577</v>
      </c>
      <c r="D12" s="13" t="s">
        <v>578</v>
      </c>
      <c r="E12" s="13" t="s">
        <v>575</v>
      </c>
    </row>
    <row r="13" customFormat="false" ht="15" hidden="false" customHeight="false" outlineLevel="0" collapsed="false">
      <c r="A13" s="13" t="s">
        <v>579</v>
      </c>
      <c r="B13" s="13" t="s">
        <v>123</v>
      </c>
      <c r="C13" s="13" t="s">
        <v>580</v>
      </c>
      <c r="D13" s="13" t="s">
        <v>581</v>
      </c>
      <c r="E13" s="13" t="s">
        <v>565</v>
      </c>
    </row>
    <row r="15" customFormat="false" ht="15" hidden="false" customHeight="false" outlineLevel="0" collapsed="false">
      <c r="A15" s="19" t="s">
        <v>582</v>
      </c>
    </row>
    <row r="16" customFormat="false" ht="15" hidden="false" customHeight="false" outlineLevel="0" collapsed="false">
      <c r="A16" s="12" t="s">
        <v>583</v>
      </c>
      <c r="B16" s="12" t="s">
        <v>114</v>
      </c>
      <c r="C16" s="12" t="s">
        <v>391</v>
      </c>
      <c r="D16" s="12" t="s">
        <v>584</v>
      </c>
      <c r="E16" s="12" t="s">
        <v>394</v>
      </c>
    </row>
    <row r="17" customFormat="false" ht="23.85" hidden="false" customHeight="false" outlineLevel="0" collapsed="false">
      <c r="A17" s="13" t="s">
        <v>585</v>
      </c>
      <c r="B17" s="13" t="s">
        <v>586</v>
      </c>
      <c r="C17" s="13" t="s">
        <v>587</v>
      </c>
      <c r="D17" s="13" t="s">
        <v>454</v>
      </c>
      <c r="E17" s="13" t="s">
        <v>588</v>
      </c>
    </row>
    <row r="18" customFormat="false" ht="23.85" hidden="false" customHeight="false" outlineLevel="0" collapsed="false">
      <c r="A18" s="13" t="s">
        <v>585</v>
      </c>
      <c r="B18" s="13" t="s">
        <v>589</v>
      </c>
      <c r="C18" s="13" t="s">
        <v>590</v>
      </c>
      <c r="D18" s="13" t="s">
        <v>454</v>
      </c>
      <c r="E18" s="13" t="s">
        <v>591</v>
      </c>
    </row>
    <row r="19" customFormat="false" ht="23.85" hidden="false" customHeight="false" outlineLevel="0" collapsed="false">
      <c r="A19" s="13" t="s">
        <v>575</v>
      </c>
      <c r="B19" s="13" t="s">
        <v>592</v>
      </c>
      <c r="C19" s="13" t="s">
        <v>593</v>
      </c>
      <c r="D19" s="13" t="s">
        <v>422</v>
      </c>
      <c r="E19" s="13"/>
    </row>
    <row r="20" customFormat="false" ht="23.85" hidden="false" customHeight="false" outlineLevel="0" collapsed="false">
      <c r="A20" s="13" t="s">
        <v>594</v>
      </c>
      <c r="B20" s="13" t="s">
        <v>595</v>
      </c>
      <c r="C20" s="13" t="s">
        <v>596</v>
      </c>
      <c r="D20" s="13" t="s">
        <v>454</v>
      </c>
      <c r="E20" s="13" t="s">
        <v>597</v>
      </c>
    </row>
    <row r="21" customFormat="false" ht="15" hidden="false" customHeight="false" outlineLevel="0" collapsed="false">
      <c r="A21" s="13" t="s">
        <v>598</v>
      </c>
      <c r="B21" s="13" t="s">
        <v>599</v>
      </c>
      <c r="C21" s="13" t="s">
        <v>600</v>
      </c>
      <c r="D21" s="13" t="s">
        <v>601</v>
      </c>
      <c r="E21" s="13" t="s">
        <v>602</v>
      </c>
    </row>
    <row r="22" customFormat="false" ht="15" hidden="false" customHeight="false" outlineLevel="0" collapsed="false">
      <c r="A22" s="13" t="s">
        <v>598</v>
      </c>
      <c r="B22" s="13" t="s">
        <v>603</v>
      </c>
      <c r="C22" s="13" t="s">
        <v>604</v>
      </c>
      <c r="D22" s="13" t="s">
        <v>601</v>
      </c>
      <c r="E22" s="13" t="s">
        <v>605</v>
      </c>
    </row>
    <row r="23" customFormat="false" ht="15" hidden="false" customHeight="false" outlineLevel="0" collapsed="false">
      <c r="A23" s="13" t="s">
        <v>594</v>
      </c>
      <c r="B23" s="13" t="s">
        <v>606</v>
      </c>
      <c r="C23" s="13" t="s">
        <v>607</v>
      </c>
      <c r="D23" s="13" t="s">
        <v>454</v>
      </c>
      <c r="E23" s="13" t="s">
        <v>608</v>
      </c>
    </row>
    <row r="24" customFormat="false" ht="15" hidden="false" customHeight="false" outlineLevel="0" collapsed="false">
      <c r="A24" s="13" t="s">
        <v>609</v>
      </c>
      <c r="B24" s="13" t="s">
        <v>610</v>
      </c>
      <c r="C24" s="13" t="s">
        <v>611</v>
      </c>
      <c r="D24" s="13" t="s">
        <v>454</v>
      </c>
      <c r="E24" s="13"/>
    </row>
    <row r="25" customFormat="false" ht="15" hidden="false" customHeight="false" outlineLevel="0" collapsed="false">
      <c r="A25" s="13" t="s">
        <v>594</v>
      </c>
      <c r="B25" s="13" t="s">
        <v>504</v>
      </c>
      <c r="C25" s="13" t="s">
        <v>612</v>
      </c>
      <c r="D25" s="13" t="s">
        <v>454</v>
      </c>
      <c r="E25" s="13" t="s">
        <v>505</v>
      </c>
    </row>
    <row r="26" customFormat="false" ht="15" hidden="false" customHeight="false" outlineLevel="0" collapsed="false">
      <c r="A26" s="13" t="s">
        <v>594</v>
      </c>
      <c r="B26" s="13" t="s">
        <v>509</v>
      </c>
      <c r="C26" s="13" t="s">
        <v>613</v>
      </c>
      <c r="D26" s="13" t="s">
        <v>454</v>
      </c>
      <c r="E26" s="13" t="s">
        <v>614</v>
      </c>
    </row>
    <row r="27" customFormat="false" ht="15" hidden="false" customHeight="false" outlineLevel="0" collapsed="false">
      <c r="A27" s="13" t="s">
        <v>594</v>
      </c>
      <c r="B27" s="13" t="s">
        <v>517</v>
      </c>
      <c r="C27" s="13" t="s">
        <v>615</v>
      </c>
      <c r="D27" s="13" t="s">
        <v>454</v>
      </c>
      <c r="E27" s="13" t="s">
        <v>518</v>
      </c>
    </row>
    <row r="28" customFormat="false" ht="15" hidden="false" customHeight="false" outlineLevel="0" collapsed="false">
      <c r="A28" s="13" t="s">
        <v>616</v>
      </c>
      <c r="B28" s="13" t="s">
        <v>617</v>
      </c>
      <c r="C28" s="13" t="s">
        <v>618</v>
      </c>
      <c r="D28" s="13" t="s">
        <v>454</v>
      </c>
      <c r="E28" s="13" t="s">
        <v>619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6" min="5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36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30" hidden="false" customHeight="true" outlineLevel="0" collapsed="false">
      <c r="A1" s="7" t="s">
        <v>70</v>
      </c>
      <c r="B1" s="7" t="s">
        <v>620</v>
      </c>
      <c r="C1" s="7" t="s">
        <v>621</v>
      </c>
      <c r="D1" s="7" t="s">
        <v>622</v>
      </c>
      <c r="E1" s="7" t="s">
        <v>82</v>
      </c>
      <c r="F1" s="7" t="s">
        <v>623</v>
      </c>
      <c r="G1" s="7" t="s">
        <v>624</v>
      </c>
      <c r="H1" s="7" t="s">
        <v>625</v>
      </c>
      <c r="I1" s="7" t="s">
        <v>483</v>
      </c>
      <c r="J1" s="7" t="s">
        <v>626</v>
      </c>
      <c r="K1" s="7" t="s">
        <v>627</v>
      </c>
      <c r="L1" s="7" t="s">
        <v>112</v>
      </c>
      <c r="M1" s="7" t="s">
        <v>628</v>
      </c>
    </row>
    <row r="2" customFormat="false" ht="15" hidden="false" customHeight="false" outlineLevel="0" collapsed="false">
      <c r="A2" s="13" t="s">
        <v>72</v>
      </c>
      <c r="B2" s="13" t="s">
        <v>4</v>
      </c>
      <c r="C2" s="13" t="s">
        <v>629</v>
      </c>
      <c r="D2" s="13" t="s">
        <v>630</v>
      </c>
      <c r="E2" s="13" t="s">
        <v>40</v>
      </c>
      <c r="F2" s="13" t="s">
        <v>631</v>
      </c>
      <c r="G2" s="13" t="s">
        <v>632</v>
      </c>
      <c r="H2" s="13" t="s">
        <v>633</v>
      </c>
      <c r="I2" s="13" t="s">
        <v>634</v>
      </c>
      <c r="J2" s="13" t="s">
        <v>633</v>
      </c>
      <c r="K2" s="13" t="s">
        <v>633</v>
      </c>
      <c r="L2" s="13" t="s">
        <v>634</v>
      </c>
      <c r="M2" s="13"/>
    </row>
    <row r="3" customFormat="false" ht="15" hidden="false" customHeight="false" outlineLevel="0" collapsed="false">
      <c r="A3" s="13" t="s">
        <v>72</v>
      </c>
      <c r="B3" s="13" t="s">
        <v>6</v>
      </c>
      <c r="C3" s="13" t="s">
        <v>629</v>
      </c>
      <c r="D3" s="13" t="s">
        <v>635</v>
      </c>
      <c r="E3" s="13" t="s">
        <v>631</v>
      </c>
      <c r="F3" s="13" t="s">
        <v>122</v>
      </c>
      <c r="G3" s="13" t="s">
        <v>636</v>
      </c>
      <c r="H3" s="13" t="s">
        <v>637</v>
      </c>
      <c r="I3" s="13" t="s">
        <v>634</v>
      </c>
      <c r="J3" s="13" t="s">
        <v>633</v>
      </c>
      <c r="K3" s="13" t="s">
        <v>122</v>
      </c>
      <c r="L3" s="13" t="s">
        <v>634</v>
      </c>
      <c r="M3" s="13"/>
    </row>
    <row r="4" customFormat="false" ht="15" hidden="false" customHeight="false" outlineLevel="0" collapsed="false">
      <c r="A4" s="13" t="s">
        <v>72</v>
      </c>
      <c r="B4" s="13" t="s">
        <v>8</v>
      </c>
      <c r="C4" s="13" t="s">
        <v>629</v>
      </c>
      <c r="D4" s="13" t="s">
        <v>638</v>
      </c>
      <c r="E4" s="13" t="s">
        <v>122</v>
      </c>
      <c r="F4" s="13" t="s">
        <v>631</v>
      </c>
      <c r="G4" s="13" t="s">
        <v>639</v>
      </c>
      <c r="H4" s="13" t="s">
        <v>633</v>
      </c>
      <c r="I4" s="13" t="s">
        <v>640</v>
      </c>
      <c r="J4" s="13" t="s">
        <v>633</v>
      </c>
      <c r="K4" s="13" t="s">
        <v>122</v>
      </c>
      <c r="L4" s="13" t="s">
        <v>634</v>
      </c>
      <c r="M4" s="13"/>
    </row>
    <row r="5" customFormat="false" ht="15" hidden="false" customHeight="false" outlineLevel="0" collapsed="false">
      <c r="A5" s="13" t="s">
        <v>72</v>
      </c>
      <c r="B5" s="13" t="s">
        <v>10</v>
      </c>
      <c r="C5" s="13" t="s">
        <v>629</v>
      </c>
      <c r="D5" s="13" t="s">
        <v>641</v>
      </c>
      <c r="E5" s="13" t="s">
        <v>631</v>
      </c>
      <c r="F5" s="13" t="s">
        <v>40</v>
      </c>
      <c r="G5" s="13" t="s">
        <v>642</v>
      </c>
      <c r="H5" s="13" t="s">
        <v>633</v>
      </c>
      <c r="I5" s="13" t="s">
        <v>640</v>
      </c>
      <c r="J5" s="13" t="s">
        <v>633</v>
      </c>
      <c r="K5" s="13" t="s">
        <v>633</v>
      </c>
      <c r="L5" s="13" t="s">
        <v>634</v>
      </c>
      <c r="M5" s="13"/>
    </row>
    <row r="6" customFormat="false" ht="23.85" hidden="false" customHeight="false" outlineLevel="0" collapsed="false">
      <c r="A6" s="13" t="s">
        <v>72</v>
      </c>
      <c r="B6" s="13" t="s">
        <v>12</v>
      </c>
      <c r="C6" s="13" t="s">
        <v>643</v>
      </c>
      <c r="D6" s="13" t="s">
        <v>644</v>
      </c>
      <c r="E6" s="13" t="s">
        <v>40</v>
      </c>
      <c r="F6" s="13" t="s">
        <v>631</v>
      </c>
      <c r="G6" s="13" t="s">
        <v>632</v>
      </c>
      <c r="H6" s="13" t="s">
        <v>633</v>
      </c>
      <c r="I6" s="13" t="s">
        <v>643</v>
      </c>
      <c r="J6" s="13" t="s">
        <v>633</v>
      </c>
      <c r="K6" s="13" t="s">
        <v>633</v>
      </c>
      <c r="L6" s="13" t="s">
        <v>634</v>
      </c>
      <c r="M6" s="13"/>
    </row>
    <row r="7" customFormat="false" ht="15" hidden="false" customHeight="false" outlineLevel="0" collapsed="false">
      <c r="A7" s="13" t="s">
        <v>72</v>
      </c>
      <c r="B7" s="13" t="s">
        <v>645</v>
      </c>
      <c r="C7" s="13" t="s">
        <v>643</v>
      </c>
      <c r="D7" s="13" t="s">
        <v>646</v>
      </c>
      <c r="E7" s="13" t="s">
        <v>40</v>
      </c>
      <c r="F7" s="13" t="s">
        <v>631</v>
      </c>
      <c r="G7" s="13" t="s">
        <v>632</v>
      </c>
      <c r="H7" s="13" t="s">
        <v>633</v>
      </c>
      <c r="I7" s="13" t="s">
        <v>643</v>
      </c>
      <c r="J7" s="13" t="s">
        <v>633</v>
      </c>
      <c r="K7" s="13" t="s">
        <v>633</v>
      </c>
      <c r="L7" s="13" t="s">
        <v>634</v>
      </c>
      <c r="M7" s="13"/>
    </row>
    <row r="8" customFormat="false" ht="15" hidden="false" customHeight="false" outlineLevel="0" collapsed="false">
      <c r="A8" s="13" t="s">
        <v>72</v>
      </c>
      <c r="B8" s="13" t="s">
        <v>647</v>
      </c>
      <c r="C8" s="13" t="s">
        <v>643</v>
      </c>
      <c r="D8" s="13" t="s">
        <v>648</v>
      </c>
      <c r="E8" s="13" t="s">
        <v>631</v>
      </c>
      <c r="F8" s="13" t="s">
        <v>122</v>
      </c>
      <c r="G8" s="13" t="s">
        <v>649</v>
      </c>
      <c r="H8" s="13" t="s">
        <v>397</v>
      </c>
      <c r="I8" s="13" t="s">
        <v>643</v>
      </c>
      <c r="J8" s="13" t="s">
        <v>633</v>
      </c>
      <c r="K8" s="13" t="s">
        <v>122</v>
      </c>
      <c r="L8" s="13" t="s">
        <v>634</v>
      </c>
      <c r="M8" s="13"/>
    </row>
    <row r="9" customFormat="false" ht="23.85" hidden="false" customHeight="false" outlineLevel="0" collapsed="false">
      <c r="A9" s="13" t="s">
        <v>72</v>
      </c>
      <c r="B9" s="13" t="s">
        <v>650</v>
      </c>
      <c r="C9" s="13" t="s">
        <v>643</v>
      </c>
      <c r="D9" s="13" t="s">
        <v>651</v>
      </c>
      <c r="E9" s="13" t="s">
        <v>122</v>
      </c>
      <c r="F9" s="13" t="s">
        <v>122</v>
      </c>
      <c r="G9" s="13" t="s">
        <v>220</v>
      </c>
      <c r="H9" s="13" t="s">
        <v>633</v>
      </c>
      <c r="I9" s="13" t="s">
        <v>643</v>
      </c>
      <c r="J9" s="13" t="s">
        <v>652</v>
      </c>
      <c r="K9" s="13" t="s">
        <v>122</v>
      </c>
      <c r="L9" s="13" t="s">
        <v>634</v>
      </c>
      <c r="M9" s="13" t="s">
        <v>366</v>
      </c>
    </row>
    <row r="10" customFormat="false" ht="23.85" hidden="false" customHeight="false" outlineLevel="0" collapsed="false">
      <c r="A10" s="13" t="s">
        <v>72</v>
      </c>
      <c r="B10" s="13" t="s">
        <v>653</v>
      </c>
      <c r="C10" s="13" t="s">
        <v>643</v>
      </c>
      <c r="D10" s="13" t="s">
        <v>654</v>
      </c>
      <c r="E10" s="13" t="s">
        <v>122</v>
      </c>
      <c r="F10" s="13" t="s">
        <v>454</v>
      </c>
      <c r="G10" s="13" t="s">
        <v>649</v>
      </c>
      <c r="H10" s="13" t="s">
        <v>397</v>
      </c>
      <c r="I10" s="13" t="s">
        <v>655</v>
      </c>
      <c r="J10" s="13" t="s">
        <v>579</v>
      </c>
      <c r="K10" s="13" t="s">
        <v>656</v>
      </c>
      <c r="L10" s="13" t="s">
        <v>125</v>
      </c>
      <c r="M10" s="13" t="s">
        <v>657</v>
      </c>
    </row>
    <row r="11" customFormat="false" ht="23.85" hidden="false" customHeight="false" outlineLevel="0" collapsed="false">
      <c r="A11" s="13" t="s">
        <v>72</v>
      </c>
      <c r="B11" s="13" t="s">
        <v>658</v>
      </c>
      <c r="C11" s="13" t="s">
        <v>643</v>
      </c>
      <c r="D11" s="13" t="s">
        <v>659</v>
      </c>
      <c r="E11" s="13" t="s">
        <v>454</v>
      </c>
      <c r="F11" s="13" t="s">
        <v>454</v>
      </c>
      <c r="G11" s="13" t="s">
        <v>220</v>
      </c>
      <c r="H11" s="13" t="s">
        <v>633</v>
      </c>
      <c r="I11" s="13" t="s">
        <v>660</v>
      </c>
      <c r="J11" s="13" t="s">
        <v>579</v>
      </c>
      <c r="K11" s="13" t="s">
        <v>656</v>
      </c>
      <c r="L11" s="13" t="s">
        <v>634</v>
      </c>
      <c r="M11" s="13" t="s">
        <v>118</v>
      </c>
    </row>
    <row r="12" customFormat="false" ht="23.85" hidden="false" customHeight="false" outlineLevel="0" collapsed="false">
      <c r="A12" s="13" t="s">
        <v>72</v>
      </c>
      <c r="B12" s="13" t="s">
        <v>661</v>
      </c>
      <c r="C12" s="13" t="s">
        <v>643</v>
      </c>
      <c r="D12" s="13" t="s">
        <v>662</v>
      </c>
      <c r="E12" s="13" t="s">
        <v>454</v>
      </c>
      <c r="F12" s="13" t="s">
        <v>454</v>
      </c>
      <c r="G12" s="13" t="s">
        <v>220</v>
      </c>
      <c r="H12" s="13" t="s">
        <v>633</v>
      </c>
      <c r="I12" s="13" t="s">
        <v>663</v>
      </c>
      <c r="J12" s="13" t="s">
        <v>579</v>
      </c>
      <c r="K12" s="13" t="s">
        <v>656</v>
      </c>
      <c r="L12" s="13" t="s">
        <v>634</v>
      </c>
      <c r="M12" s="13" t="s">
        <v>118</v>
      </c>
    </row>
    <row r="13" customFormat="false" ht="23.85" hidden="false" customHeight="false" outlineLevel="0" collapsed="false">
      <c r="A13" s="13" t="s">
        <v>72</v>
      </c>
      <c r="B13" s="13" t="s">
        <v>664</v>
      </c>
      <c r="C13" s="13" t="s">
        <v>643</v>
      </c>
      <c r="D13" s="13" t="s">
        <v>665</v>
      </c>
      <c r="E13" s="13" t="s">
        <v>454</v>
      </c>
      <c r="F13" s="13" t="s">
        <v>122</v>
      </c>
      <c r="G13" s="13" t="s">
        <v>666</v>
      </c>
      <c r="H13" s="13" t="s">
        <v>633</v>
      </c>
      <c r="I13" s="13" t="s">
        <v>667</v>
      </c>
      <c r="J13" s="13" t="s">
        <v>633</v>
      </c>
      <c r="K13" s="13" t="s">
        <v>656</v>
      </c>
      <c r="L13" s="13" t="s">
        <v>125</v>
      </c>
      <c r="M13" s="13" t="s">
        <v>118</v>
      </c>
    </row>
    <row r="14" customFormat="false" ht="15" hidden="false" customHeight="false" outlineLevel="0" collapsed="false">
      <c r="A14" s="13" t="s">
        <v>72</v>
      </c>
      <c r="B14" s="13" t="s">
        <v>668</v>
      </c>
      <c r="C14" s="13" t="s">
        <v>643</v>
      </c>
      <c r="D14" s="13" t="s">
        <v>669</v>
      </c>
      <c r="E14" s="13" t="s">
        <v>122</v>
      </c>
      <c r="F14" s="13" t="s">
        <v>631</v>
      </c>
      <c r="G14" s="13" t="s">
        <v>670</v>
      </c>
      <c r="H14" s="13" t="s">
        <v>633</v>
      </c>
      <c r="I14" s="13" t="s">
        <v>640</v>
      </c>
      <c r="J14" s="13" t="s">
        <v>633</v>
      </c>
      <c r="K14" s="13" t="s">
        <v>122</v>
      </c>
      <c r="L14" s="13" t="s">
        <v>634</v>
      </c>
      <c r="M14" s="13"/>
    </row>
    <row r="15" customFormat="false" ht="15" hidden="false" customHeight="false" outlineLevel="0" collapsed="false">
      <c r="A15" s="13" t="s">
        <v>72</v>
      </c>
      <c r="B15" s="13" t="s">
        <v>671</v>
      </c>
      <c r="C15" s="13" t="s">
        <v>643</v>
      </c>
      <c r="D15" s="13" t="s">
        <v>672</v>
      </c>
      <c r="E15" s="13" t="s">
        <v>631</v>
      </c>
      <c r="F15" s="13" t="s">
        <v>40</v>
      </c>
      <c r="G15" s="13" t="s">
        <v>642</v>
      </c>
      <c r="H15" s="13" t="s">
        <v>633</v>
      </c>
      <c r="I15" s="13" t="s">
        <v>640</v>
      </c>
      <c r="J15" s="13" t="s">
        <v>633</v>
      </c>
      <c r="K15" s="13" t="s">
        <v>633</v>
      </c>
      <c r="L15" s="13" t="s">
        <v>634</v>
      </c>
      <c r="M15" s="13"/>
    </row>
    <row r="16" customFormat="false" ht="15" hidden="false" customHeight="false" outlineLevel="0" collapsed="false">
      <c r="A16" s="13" t="s">
        <v>72</v>
      </c>
      <c r="B16" s="13" t="s">
        <v>673</v>
      </c>
      <c r="C16" s="13" t="s">
        <v>674</v>
      </c>
      <c r="D16" s="13" t="s">
        <v>675</v>
      </c>
      <c r="E16" s="13" t="s">
        <v>40</v>
      </c>
      <c r="F16" s="13" t="s">
        <v>631</v>
      </c>
      <c r="G16" s="13" t="s">
        <v>632</v>
      </c>
      <c r="H16" s="13" t="s">
        <v>633</v>
      </c>
      <c r="I16" s="13" t="s">
        <v>676</v>
      </c>
      <c r="J16" s="13" t="s">
        <v>633</v>
      </c>
      <c r="K16" s="13" t="s">
        <v>633</v>
      </c>
      <c r="L16" s="13" t="s">
        <v>634</v>
      </c>
      <c r="M16" s="13"/>
    </row>
    <row r="17" customFormat="false" ht="23.85" hidden="false" customHeight="false" outlineLevel="0" collapsed="false">
      <c r="A17" s="13" t="s">
        <v>72</v>
      </c>
      <c r="B17" s="13" t="s">
        <v>677</v>
      </c>
      <c r="C17" s="13" t="s">
        <v>674</v>
      </c>
      <c r="D17" s="13" t="s">
        <v>678</v>
      </c>
      <c r="E17" s="13" t="s">
        <v>631</v>
      </c>
      <c r="F17" s="13" t="s">
        <v>146</v>
      </c>
      <c r="G17" s="13" t="s">
        <v>228</v>
      </c>
      <c r="H17" s="13" t="s">
        <v>679</v>
      </c>
      <c r="I17" s="13" t="s">
        <v>680</v>
      </c>
      <c r="J17" s="13" t="s">
        <v>681</v>
      </c>
      <c r="K17" s="13" t="s">
        <v>125</v>
      </c>
      <c r="L17" s="13" t="s">
        <v>191</v>
      </c>
      <c r="M17" s="13" t="s">
        <v>283</v>
      </c>
    </row>
    <row r="18" customFormat="false" ht="15" hidden="false" customHeight="false" outlineLevel="0" collapsed="false">
      <c r="A18" s="13" t="s">
        <v>72</v>
      </c>
      <c r="B18" s="13" t="s">
        <v>682</v>
      </c>
      <c r="C18" s="13" t="s">
        <v>674</v>
      </c>
      <c r="D18" s="13" t="s">
        <v>646</v>
      </c>
      <c r="E18" s="13" t="s">
        <v>40</v>
      </c>
      <c r="F18" s="13" t="s">
        <v>631</v>
      </c>
      <c r="G18" s="13" t="s">
        <v>632</v>
      </c>
      <c r="H18" s="13" t="s">
        <v>633</v>
      </c>
      <c r="I18" s="13" t="s">
        <v>683</v>
      </c>
      <c r="J18" s="13" t="s">
        <v>633</v>
      </c>
      <c r="K18" s="13" t="s">
        <v>633</v>
      </c>
      <c r="L18" s="13" t="s">
        <v>634</v>
      </c>
      <c r="M18" s="13"/>
    </row>
    <row r="19" customFormat="false" ht="15" hidden="false" customHeight="false" outlineLevel="0" collapsed="false">
      <c r="A19" s="13" t="s">
        <v>72</v>
      </c>
      <c r="B19" s="13" t="s">
        <v>684</v>
      </c>
      <c r="C19" s="13" t="s">
        <v>674</v>
      </c>
      <c r="D19" s="13" t="s">
        <v>685</v>
      </c>
      <c r="E19" s="13" t="s">
        <v>631</v>
      </c>
      <c r="F19" s="13" t="s">
        <v>122</v>
      </c>
      <c r="G19" s="13" t="s">
        <v>649</v>
      </c>
      <c r="H19" s="13" t="s">
        <v>403</v>
      </c>
      <c r="I19" s="13" t="s">
        <v>683</v>
      </c>
      <c r="J19" s="13" t="s">
        <v>633</v>
      </c>
      <c r="K19" s="13" t="s">
        <v>122</v>
      </c>
      <c r="L19" s="13" t="s">
        <v>634</v>
      </c>
      <c r="M19" s="13"/>
    </row>
    <row r="20" customFormat="false" ht="15" hidden="false" customHeight="false" outlineLevel="0" collapsed="false">
      <c r="A20" s="13" t="s">
        <v>72</v>
      </c>
      <c r="B20" s="13" t="s">
        <v>686</v>
      </c>
      <c r="C20" s="13" t="s">
        <v>674</v>
      </c>
      <c r="D20" s="13" t="s">
        <v>687</v>
      </c>
      <c r="E20" s="13" t="s">
        <v>122</v>
      </c>
      <c r="F20" s="13" t="s">
        <v>122</v>
      </c>
      <c r="G20" s="13" t="s">
        <v>220</v>
      </c>
      <c r="H20" s="13" t="s">
        <v>633</v>
      </c>
      <c r="I20" s="13" t="s">
        <v>683</v>
      </c>
      <c r="J20" s="13" t="s">
        <v>576</v>
      </c>
      <c r="K20" s="13" t="s">
        <v>122</v>
      </c>
      <c r="L20" s="13" t="s">
        <v>634</v>
      </c>
      <c r="M20" s="13"/>
    </row>
    <row r="21" customFormat="false" ht="15" hidden="false" customHeight="false" outlineLevel="0" collapsed="false">
      <c r="A21" s="13" t="s">
        <v>72</v>
      </c>
      <c r="B21" s="13" t="s">
        <v>688</v>
      </c>
      <c r="C21" s="13" t="s">
        <v>674</v>
      </c>
      <c r="D21" s="13" t="s">
        <v>689</v>
      </c>
      <c r="E21" s="13" t="s">
        <v>122</v>
      </c>
      <c r="F21" s="13" t="s">
        <v>122</v>
      </c>
      <c r="G21" s="13" t="s">
        <v>220</v>
      </c>
      <c r="H21" s="13" t="s">
        <v>633</v>
      </c>
      <c r="I21" s="13" t="s">
        <v>690</v>
      </c>
      <c r="J21" s="13" t="s">
        <v>576</v>
      </c>
      <c r="K21" s="13" t="s">
        <v>122</v>
      </c>
      <c r="L21" s="13" t="s">
        <v>634</v>
      </c>
      <c r="M21" s="13" t="s">
        <v>691</v>
      </c>
    </row>
    <row r="22" customFormat="false" ht="35.05" hidden="false" customHeight="false" outlineLevel="0" collapsed="false">
      <c r="A22" s="13" t="s">
        <v>72</v>
      </c>
      <c r="B22" s="13" t="s">
        <v>692</v>
      </c>
      <c r="C22" s="13" t="s">
        <v>674</v>
      </c>
      <c r="D22" s="13" t="s">
        <v>693</v>
      </c>
      <c r="E22" s="13" t="s">
        <v>122</v>
      </c>
      <c r="F22" s="13" t="s">
        <v>631</v>
      </c>
      <c r="G22" s="13" t="s">
        <v>694</v>
      </c>
      <c r="H22" s="13" t="s">
        <v>633</v>
      </c>
      <c r="I22" s="13" t="s">
        <v>695</v>
      </c>
      <c r="J22" s="13" t="s">
        <v>633</v>
      </c>
      <c r="K22" s="13" t="s">
        <v>122</v>
      </c>
      <c r="L22" s="13" t="s">
        <v>634</v>
      </c>
      <c r="M22" s="13"/>
    </row>
    <row r="23" customFormat="false" ht="15" hidden="false" customHeight="false" outlineLevel="0" collapsed="false">
      <c r="A23" s="13" t="s">
        <v>72</v>
      </c>
      <c r="B23" s="13" t="s">
        <v>696</v>
      </c>
      <c r="C23" s="13" t="s">
        <v>674</v>
      </c>
      <c r="D23" s="13" t="s">
        <v>697</v>
      </c>
      <c r="E23" s="13" t="s">
        <v>631</v>
      </c>
      <c r="F23" s="13" t="s">
        <v>40</v>
      </c>
      <c r="G23" s="13" t="s">
        <v>642</v>
      </c>
      <c r="H23" s="13" t="s">
        <v>633</v>
      </c>
      <c r="I23" s="13" t="s">
        <v>640</v>
      </c>
      <c r="J23" s="13" t="s">
        <v>633</v>
      </c>
      <c r="K23" s="13" t="s">
        <v>633</v>
      </c>
      <c r="L23" s="13" t="s">
        <v>634</v>
      </c>
      <c r="M23" s="13"/>
    </row>
    <row r="24" customFormat="false" ht="23.85" hidden="false" customHeight="false" outlineLevel="0" collapsed="false">
      <c r="A24" s="13" t="s">
        <v>72</v>
      </c>
      <c r="B24" s="13" t="s">
        <v>698</v>
      </c>
      <c r="C24" s="13" t="s">
        <v>699</v>
      </c>
      <c r="D24" s="13" t="s">
        <v>700</v>
      </c>
      <c r="E24" s="13" t="s">
        <v>40</v>
      </c>
      <c r="F24" s="13" t="s">
        <v>631</v>
      </c>
      <c r="G24" s="13" t="s">
        <v>632</v>
      </c>
      <c r="H24" s="13" t="s">
        <v>633</v>
      </c>
      <c r="I24" s="13" t="s">
        <v>634</v>
      </c>
      <c r="J24" s="13" t="s">
        <v>633</v>
      </c>
      <c r="K24" s="13" t="s">
        <v>633</v>
      </c>
      <c r="L24" s="13" t="s">
        <v>634</v>
      </c>
      <c r="M24" s="13"/>
    </row>
    <row r="25" customFormat="false" ht="23.85" hidden="false" customHeight="false" outlineLevel="0" collapsed="false">
      <c r="A25" s="13" t="s">
        <v>72</v>
      </c>
      <c r="B25" s="13" t="s">
        <v>701</v>
      </c>
      <c r="C25" s="13" t="s">
        <v>699</v>
      </c>
      <c r="D25" s="13" t="s">
        <v>702</v>
      </c>
      <c r="E25" s="13" t="s">
        <v>631</v>
      </c>
      <c r="F25" s="13" t="s">
        <v>122</v>
      </c>
      <c r="G25" s="13" t="s">
        <v>636</v>
      </c>
      <c r="H25" s="13" t="s">
        <v>637</v>
      </c>
      <c r="I25" s="13" t="s">
        <v>634</v>
      </c>
      <c r="J25" s="13" t="s">
        <v>633</v>
      </c>
      <c r="K25" s="13" t="s">
        <v>122</v>
      </c>
      <c r="L25" s="13" t="s">
        <v>634</v>
      </c>
      <c r="M25" s="13"/>
    </row>
    <row r="26" customFormat="false" ht="23.85" hidden="false" customHeight="false" outlineLevel="0" collapsed="false">
      <c r="A26" s="13" t="s">
        <v>72</v>
      </c>
      <c r="B26" s="13" t="s">
        <v>703</v>
      </c>
      <c r="C26" s="13" t="s">
        <v>699</v>
      </c>
      <c r="D26" s="13" t="s">
        <v>704</v>
      </c>
      <c r="E26" s="13" t="s">
        <v>122</v>
      </c>
      <c r="F26" s="13" t="s">
        <v>631</v>
      </c>
      <c r="G26" s="13" t="s">
        <v>705</v>
      </c>
      <c r="H26" s="13" t="s">
        <v>633</v>
      </c>
      <c r="I26" s="13" t="s">
        <v>640</v>
      </c>
      <c r="J26" s="13" t="s">
        <v>633</v>
      </c>
      <c r="K26" s="13" t="s">
        <v>122</v>
      </c>
      <c r="L26" s="13" t="s">
        <v>634</v>
      </c>
      <c r="M26" s="13"/>
    </row>
    <row r="27" customFormat="false" ht="23.85" hidden="false" customHeight="false" outlineLevel="0" collapsed="false">
      <c r="A27" s="13" t="s">
        <v>72</v>
      </c>
      <c r="B27" s="13" t="s">
        <v>706</v>
      </c>
      <c r="C27" s="13" t="s">
        <v>699</v>
      </c>
      <c r="D27" s="13" t="s">
        <v>707</v>
      </c>
      <c r="E27" s="13" t="s">
        <v>631</v>
      </c>
      <c r="F27" s="13" t="s">
        <v>40</v>
      </c>
      <c r="G27" s="13" t="s">
        <v>642</v>
      </c>
      <c r="H27" s="13" t="s">
        <v>633</v>
      </c>
      <c r="I27" s="13" t="s">
        <v>640</v>
      </c>
      <c r="J27" s="13" t="s">
        <v>633</v>
      </c>
      <c r="K27" s="13" t="s">
        <v>633</v>
      </c>
      <c r="L27" s="13" t="s">
        <v>634</v>
      </c>
      <c r="M27" s="13"/>
    </row>
    <row r="28" customFormat="false" ht="23.85" hidden="false" customHeight="false" outlineLevel="0" collapsed="false">
      <c r="A28" s="13" t="s">
        <v>72</v>
      </c>
      <c r="B28" s="13" t="s">
        <v>708</v>
      </c>
      <c r="C28" s="13" t="s">
        <v>699</v>
      </c>
      <c r="D28" s="13" t="s">
        <v>709</v>
      </c>
      <c r="E28" s="13" t="s">
        <v>40</v>
      </c>
      <c r="F28" s="13" t="s">
        <v>631</v>
      </c>
      <c r="G28" s="13" t="s">
        <v>632</v>
      </c>
      <c r="H28" s="13" t="s">
        <v>633</v>
      </c>
      <c r="I28" s="13" t="s">
        <v>683</v>
      </c>
      <c r="J28" s="13" t="s">
        <v>633</v>
      </c>
      <c r="K28" s="13" t="s">
        <v>633</v>
      </c>
      <c r="L28" s="13" t="s">
        <v>634</v>
      </c>
      <c r="M28" s="13"/>
    </row>
    <row r="29" customFormat="false" ht="23.85" hidden="false" customHeight="false" outlineLevel="0" collapsed="false">
      <c r="A29" s="13" t="s">
        <v>72</v>
      </c>
      <c r="B29" s="13" t="s">
        <v>710</v>
      </c>
      <c r="C29" s="13" t="s">
        <v>699</v>
      </c>
      <c r="D29" s="13" t="s">
        <v>685</v>
      </c>
      <c r="E29" s="13" t="s">
        <v>631</v>
      </c>
      <c r="F29" s="13" t="s">
        <v>122</v>
      </c>
      <c r="G29" s="13" t="s">
        <v>649</v>
      </c>
      <c r="H29" s="13" t="s">
        <v>410</v>
      </c>
      <c r="I29" s="13" t="s">
        <v>683</v>
      </c>
      <c r="J29" s="13" t="s">
        <v>633</v>
      </c>
      <c r="K29" s="13" t="s">
        <v>122</v>
      </c>
      <c r="L29" s="13" t="s">
        <v>634</v>
      </c>
      <c r="M29" s="13"/>
    </row>
    <row r="30" customFormat="false" ht="23.85" hidden="false" customHeight="false" outlineLevel="0" collapsed="false">
      <c r="A30" s="13" t="s">
        <v>72</v>
      </c>
      <c r="B30" s="13" t="s">
        <v>711</v>
      </c>
      <c r="C30" s="13" t="s">
        <v>699</v>
      </c>
      <c r="D30" s="13" t="s">
        <v>687</v>
      </c>
      <c r="E30" s="13" t="s">
        <v>122</v>
      </c>
      <c r="F30" s="13" t="s">
        <v>122</v>
      </c>
      <c r="G30" s="13" t="s">
        <v>220</v>
      </c>
      <c r="H30" s="13" t="s">
        <v>633</v>
      </c>
      <c r="I30" s="13" t="s">
        <v>683</v>
      </c>
      <c r="J30" s="13" t="s">
        <v>576</v>
      </c>
      <c r="K30" s="13" t="s">
        <v>122</v>
      </c>
      <c r="L30" s="13" t="s">
        <v>634</v>
      </c>
      <c r="M30" s="13"/>
    </row>
    <row r="31" customFormat="false" ht="23.85" hidden="false" customHeight="false" outlineLevel="0" collapsed="false">
      <c r="A31" s="13" t="s">
        <v>72</v>
      </c>
      <c r="B31" s="13" t="s">
        <v>712</v>
      </c>
      <c r="C31" s="13" t="s">
        <v>699</v>
      </c>
      <c r="D31" s="13" t="s">
        <v>713</v>
      </c>
      <c r="E31" s="13" t="s">
        <v>122</v>
      </c>
      <c r="F31" s="13" t="s">
        <v>631</v>
      </c>
      <c r="G31" s="13" t="s">
        <v>714</v>
      </c>
      <c r="H31" s="13" t="s">
        <v>633</v>
      </c>
      <c r="I31" s="13" t="s">
        <v>715</v>
      </c>
      <c r="J31" s="13" t="s">
        <v>633</v>
      </c>
      <c r="K31" s="13" t="s">
        <v>122</v>
      </c>
      <c r="L31" s="13" t="s">
        <v>634</v>
      </c>
      <c r="M31" s="13"/>
    </row>
    <row r="32" customFormat="false" ht="23.85" hidden="false" customHeight="false" outlineLevel="0" collapsed="false">
      <c r="A32" s="13" t="s">
        <v>72</v>
      </c>
      <c r="B32" s="13" t="s">
        <v>716</v>
      </c>
      <c r="C32" s="13" t="s">
        <v>699</v>
      </c>
      <c r="D32" s="13" t="s">
        <v>717</v>
      </c>
      <c r="E32" s="13" t="s">
        <v>631</v>
      </c>
      <c r="F32" s="13" t="s">
        <v>40</v>
      </c>
      <c r="G32" s="13" t="s">
        <v>642</v>
      </c>
      <c r="H32" s="13" t="s">
        <v>633</v>
      </c>
      <c r="I32" s="13" t="s">
        <v>640</v>
      </c>
      <c r="J32" s="13" t="s">
        <v>633</v>
      </c>
      <c r="K32" s="13" t="s">
        <v>633</v>
      </c>
      <c r="L32" s="13" t="s">
        <v>634</v>
      </c>
      <c r="M32" s="13"/>
    </row>
    <row r="33" customFormat="false" ht="15" hidden="false" customHeight="false" outlineLevel="0" collapsed="false">
      <c r="A33" s="13" t="s">
        <v>72</v>
      </c>
      <c r="B33" s="13" t="s">
        <v>718</v>
      </c>
      <c r="C33" s="13" t="s">
        <v>719</v>
      </c>
      <c r="D33" s="13" t="s">
        <v>720</v>
      </c>
      <c r="E33" s="13" t="s">
        <v>40</v>
      </c>
      <c r="F33" s="13" t="s">
        <v>631</v>
      </c>
      <c r="G33" s="13" t="s">
        <v>632</v>
      </c>
      <c r="H33" s="13" t="s">
        <v>633</v>
      </c>
      <c r="I33" s="13" t="s">
        <v>634</v>
      </c>
      <c r="J33" s="13" t="s">
        <v>633</v>
      </c>
      <c r="K33" s="13" t="s">
        <v>633</v>
      </c>
      <c r="L33" s="13" t="s">
        <v>634</v>
      </c>
      <c r="M33" s="13"/>
    </row>
    <row r="34" customFormat="false" ht="15" hidden="false" customHeight="false" outlineLevel="0" collapsed="false">
      <c r="A34" s="13" t="s">
        <v>72</v>
      </c>
      <c r="B34" s="13" t="s">
        <v>721</v>
      </c>
      <c r="C34" s="13" t="s">
        <v>719</v>
      </c>
      <c r="D34" s="13" t="s">
        <v>722</v>
      </c>
      <c r="E34" s="13" t="s">
        <v>631</v>
      </c>
      <c r="F34" s="13" t="s">
        <v>122</v>
      </c>
      <c r="G34" s="13" t="s">
        <v>649</v>
      </c>
      <c r="H34" s="13" t="s">
        <v>415</v>
      </c>
      <c r="I34" s="13" t="s">
        <v>683</v>
      </c>
      <c r="J34" s="13" t="s">
        <v>633</v>
      </c>
      <c r="K34" s="13" t="s">
        <v>122</v>
      </c>
      <c r="L34" s="13" t="s">
        <v>634</v>
      </c>
      <c r="M34" s="13" t="s">
        <v>128</v>
      </c>
    </row>
    <row r="35" customFormat="false" ht="15" hidden="false" customHeight="false" outlineLevel="0" collapsed="false">
      <c r="A35" s="13" t="s">
        <v>72</v>
      </c>
      <c r="B35" s="13" t="s">
        <v>723</v>
      </c>
      <c r="C35" s="13" t="s">
        <v>719</v>
      </c>
      <c r="D35" s="13" t="s">
        <v>722</v>
      </c>
      <c r="E35" s="13" t="s">
        <v>122</v>
      </c>
      <c r="F35" s="13" t="s">
        <v>454</v>
      </c>
      <c r="G35" s="13" t="s">
        <v>649</v>
      </c>
      <c r="H35" s="13" t="s">
        <v>415</v>
      </c>
      <c r="I35" s="13" t="s">
        <v>683</v>
      </c>
      <c r="J35" s="13" t="s">
        <v>633</v>
      </c>
      <c r="K35" s="13" t="s">
        <v>724</v>
      </c>
      <c r="L35" s="13" t="s">
        <v>125</v>
      </c>
      <c r="M35" s="13" t="s">
        <v>128</v>
      </c>
    </row>
    <row r="36" customFormat="false" ht="15" hidden="false" customHeight="false" outlineLevel="0" collapsed="false">
      <c r="A36" s="13" t="s">
        <v>72</v>
      </c>
      <c r="B36" s="13" t="s">
        <v>725</v>
      </c>
      <c r="C36" s="13" t="s">
        <v>719</v>
      </c>
      <c r="D36" s="13" t="s">
        <v>726</v>
      </c>
      <c r="E36" s="13" t="s">
        <v>454</v>
      </c>
      <c r="F36" s="13" t="s">
        <v>454</v>
      </c>
      <c r="G36" s="13" t="s">
        <v>220</v>
      </c>
      <c r="H36" s="13" t="s">
        <v>633</v>
      </c>
      <c r="I36" s="13" t="s">
        <v>683</v>
      </c>
      <c r="J36" s="13" t="s">
        <v>579</v>
      </c>
      <c r="K36" s="13" t="s">
        <v>656</v>
      </c>
      <c r="L36" s="13" t="s">
        <v>634</v>
      </c>
      <c r="M36" s="13" t="s">
        <v>128</v>
      </c>
    </row>
    <row r="37" customFormat="false" ht="15" hidden="false" customHeight="false" outlineLevel="0" collapsed="false">
      <c r="A37" s="13" t="s">
        <v>72</v>
      </c>
      <c r="B37" s="13" t="s">
        <v>727</v>
      </c>
      <c r="C37" s="13" t="s">
        <v>719</v>
      </c>
      <c r="D37" s="13" t="s">
        <v>728</v>
      </c>
      <c r="E37" s="13" t="s">
        <v>454</v>
      </c>
      <c r="F37" s="13" t="s">
        <v>122</v>
      </c>
      <c r="G37" s="13" t="s">
        <v>729</v>
      </c>
      <c r="H37" s="13" t="s">
        <v>633</v>
      </c>
      <c r="I37" s="13" t="s">
        <v>730</v>
      </c>
      <c r="J37" s="13" t="s">
        <v>633</v>
      </c>
      <c r="K37" s="13" t="s">
        <v>724</v>
      </c>
      <c r="L37" s="13" t="s">
        <v>125</v>
      </c>
      <c r="M37" s="13" t="s">
        <v>128</v>
      </c>
    </row>
    <row r="38" customFormat="false" ht="15" hidden="false" customHeight="false" outlineLevel="0" collapsed="false">
      <c r="A38" s="13" t="s">
        <v>72</v>
      </c>
      <c r="B38" s="13" t="s">
        <v>731</v>
      </c>
      <c r="C38" s="13" t="s">
        <v>719</v>
      </c>
      <c r="D38" s="13" t="s">
        <v>728</v>
      </c>
      <c r="E38" s="13" t="s">
        <v>122</v>
      </c>
      <c r="F38" s="13" t="s">
        <v>631</v>
      </c>
      <c r="G38" s="13" t="s">
        <v>732</v>
      </c>
      <c r="H38" s="13" t="s">
        <v>633</v>
      </c>
      <c r="I38" s="13" t="s">
        <v>730</v>
      </c>
      <c r="J38" s="13" t="s">
        <v>633</v>
      </c>
      <c r="K38" s="13" t="s">
        <v>122</v>
      </c>
      <c r="L38" s="13" t="s">
        <v>634</v>
      </c>
      <c r="M38" s="13" t="s">
        <v>128</v>
      </c>
    </row>
    <row r="39" customFormat="false" ht="23.85" hidden="false" customHeight="false" outlineLevel="0" collapsed="false">
      <c r="A39" s="13" t="s">
        <v>72</v>
      </c>
      <c r="B39" s="13" t="s">
        <v>733</v>
      </c>
      <c r="C39" s="13" t="s">
        <v>719</v>
      </c>
      <c r="D39" s="13" t="s">
        <v>734</v>
      </c>
      <c r="E39" s="13" t="s">
        <v>454</v>
      </c>
      <c r="F39" s="13" t="s">
        <v>137</v>
      </c>
      <c r="G39" s="13" t="s">
        <v>735</v>
      </c>
      <c r="H39" s="13" t="s">
        <v>125</v>
      </c>
      <c r="I39" s="13" t="s">
        <v>736</v>
      </c>
      <c r="J39" s="13" t="s">
        <v>558</v>
      </c>
      <c r="K39" s="13" t="s">
        <v>125</v>
      </c>
      <c r="L39" s="13" t="s">
        <v>737</v>
      </c>
      <c r="M39" s="13" t="s">
        <v>738</v>
      </c>
    </row>
    <row r="40" customFormat="false" ht="35.05" hidden="false" customHeight="false" outlineLevel="0" collapsed="false">
      <c r="A40" s="13" t="s">
        <v>72</v>
      </c>
      <c r="B40" s="13" t="s">
        <v>739</v>
      </c>
      <c r="C40" s="13" t="s">
        <v>719</v>
      </c>
      <c r="D40" s="13" t="s">
        <v>740</v>
      </c>
      <c r="E40" s="13" t="s">
        <v>631</v>
      </c>
      <c r="F40" s="13" t="s">
        <v>40</v>
      </c>
      <c r="G40" s="13" t="s">
        <v>642</v>
      </c>
      <c r="H40" s="13" t="s">
        <v>633</v>
      </c>
      <c r="I40" s="13" t="s">
        <v>741</v>
      </c>
      <c r="J40" s="13" t="s">
        <v>633</v>
      </c>
      <c r="K40" s="13" t="s">
        <v>633</v>
      </c>
      <c r="L40" s="13" t="s">
        <v>634</v>
      </c>
      <c r="M40" s="13"/>
    </row>
    <row r="41" customFormat="false" ht="15" hidden="false" customHeight="false" outlineLevel="0" collapsed="false">
      <c r="A41" s="13" t="s">
        <v>73</v>
      </c>
      <c r="B41" s="13" t="s">
        <v>4</v>
      </c>
      <c r="C41" s="13" t="s">
        <v>742</v>
      </c>
      <c r="D41" s="13" t="s">
        <v>743</v>
      </c>
      <c r="E41" s="13" t="s">
        <v>744</v>
      </c>
      <c r="F41" s="13" t="s">
        <v>745</v>
      </c>
      <c r="G41" s="13" t="s">
        <v>746</v>
      </c>
      <c r="H41" s="13" t="s">
        <v>633</v>
      </c>
      <c r="I41" s="13" t="s">
        <v>634</v>
      </c>
      <c r="J41" s="13" t="s">
        <v>633</v>
      </c>
      <c r="K41" s="13" t="s">
        <v>633</v>
      </c>
      <c r="L41" s="13" t="s">
        <v>634</v>
      </c>
      <c r="M41" s="13"/>
    </row>
    <row r="42" customFormat="false" ht="23.85" hidden="false" customHeight="false" outlineLevel="0" collapsed="false">
      <c r="A42" s="13" t="s">
        <v>73</v>
      </c>
      <c r="B42" s="13" t="s">
        <v>6</v>
      </c>
      <c r="C42" s="13" t="s">
        <v>742</v>
      </c>
      <c r="D42" s="13" t="s">
        <v>747</v>
      </c>
      <c r="E42" s="13" t="s">
        <v>745</v>
      </c>
      <c r="F42" s="13" t="s">
        <v>631</v>
      </c>
      <c r="G42" s="13" t="s">
        <v>746</v>
      </c>
      <c r="H42" s="13" t="s">
        <v>633</v>
      </c>
      <c r="I42" s="13" t="s">
        <v>748</v>
      </c>
      <c r="J42" s="13" t="s">
        <v>633</v>
      </c>
      <c r="K42" s="13" t="s">
        <v>633</v>
      </c>
      <c r="L42" s="13" t="s">
        <v>634</v>
      </c>
      <c r="M42" s="13"/>
    </row>
    <row r="43" customFormat="false" ht="23.85" hidden="false" customHeight="false" outlineLevel="0" collapsed="false">
      <c r="A43" s="13" t="s">
        <v>73</v>
      </c>
      <c r="B43" s="13" t="s">
        <v>8</v>
      </c>
      <c r="C43" s="13" t="s">
        <v>742</v>
      </c>
      <c r="D43" s="13" t="s">
        <v>749</v>
      </c>
      <c r="E43" s="13" t="s">
        <v>744</v>
      </c>
      <c r="F43" s="13" t="s">
        <v>145</v>
      </c>
      <c r="G43" s="13" t="s">
        <v>649</v>
      </c>
      <c r="H43" s="13" t="s">
        <v>421</v>
      </c>
      <c r="I43" s="13" t="s">
        <v>748</v>
      </c>
      <c r="J43" s="13" t="s">
        <v>633</v>
      </c>
      <c r="K43" s="13" t="s">
        <v>422</v>
      </c>
      <c r="L43" s="13" t="s">
        <v>634</v>
      </c>
      <c r="M43" s="13"/>
    </row>
    <row r="44" customFormat="false" ht="23.85" hidden="false" customHeight="false" outlineLevel="0" collapsed="false">
      <c r="A44" s="13" t="s">
        <v>73</v>
      </c>
      <c r="B44" s="13" t="s">
        <v>10</v>
      </c>
      <c r="C44" s="13" t="s">
        <v>742</v>
      </c>
      <c r="D44" s="13" t="s">
        <v>750</v>
      </c>
      <c r="E44" s="13" t="s">
        <v>145</v>
      </c>
      <c r="F44" s="13" t="s">
        <v>145</v>
      </c>
      <c r="G44" s="13" t="s">
        <v>220</v>
      </c>
      <c r="H44" s="13" t="s">
        <v>633</v>
      </c>
      <c r="I44" s="13" t="s">
        <v>751</v>
      </c>
      <c r="J44" s="13" t="s">
        <v>572</v>
      </c>
      <c r="K44" s="13" t="s">
        <v>422</v>
      </c>
      <c r="L44" s="13" t="s">
        <v>634</v>
      </c>
      <c r="M44" s="13"/>
    </row>
    <row r="45" customFormat="false" ht="23.85" hidden="false" customHeight="false" outlineLevel="0" collapsed="false">
      <c r="A45" s="13" t="s">
        <v>73</v>
      </c>
      <c r="B45" s="13" t="s">
        <v>12</v>
      </c>
      <c r="C45" s="13" t="s">
        <v>742</v>
      </c>
      <c r="D45" s="13" t="s">
        <v>752</v>
      </c>
      <c r="E45" s="13" t="s">
        <v>145</v>
      </c>
      <c r="F45" s="13" t="s">
        <v>146</v>
      </c>
      <c r="G45" s="13" t="s">
        <v>649</v>
      </c>
      <c r="H45" s="13" t="s">
        <v>427</v>
      </c>
      <c r="I45" s="13" t="s">
        <v>753</v>
      </c>
      <c r="J45" s="13" t="s">
        <v>633</v>
      </c>
      <c r="K45" s="13" t="s">
        <v>754</v>
      </c>
      <c r="L45" s="13" t="s">
        <v>191</v>
      </c>
      <c r="M45" s="13" t="s">
        <v>755</v>
      </c>
    </row>
    <row r="46" customFormat="false" ht="23.85" hidden="false" customHeight="false" outlineLevel="0" collapsed="false">
      <c r="A46" s="13" t="s">
        <v>73</v>
      </c>
      <c r="B46" s="13" t="s">
        <v>645</v>
      </c>
      <c r="C46" s="13" t="s">
        <v>742</v>
      </c>
      <c r="D46" s="13" t="s">
        <v>756</v>
      </c>
      <c r="E46" s="13" t="s">
        <v>146</v>
      </c>
      <c r="F46" s="13" t="s">
        <v>146</v>
      </c>
      <c r="G46" s="13" t="s">
        <v>220</v>
      </c>
      <c r="H46" s="13" t="s">
        <v>633</v>
      </c>
      <c r="I46" s="13" t="s">
        <v>757</v>
      </c>
      <c r="J46" s="13" t="s">
        <v>633</v>
      </c>
      <c r="K46" s="13" t="s">
        <v>754</v>
      </c>
      <c r="L46" s="13" t="s">
        <v>191</v>
      </c>
      <c r="M46" s="13" t="s">
        <v>758</v>
      </c>
    </row>
    <row r="47" customFormat="false" ht="23.85" hidden="false" customHeight="false" outlineLevel="0" collapsed="false">
      <c r="A47" s="13" t="s">
        <v>73</v>
      </c>
      <c r="B47" s="13" t="s">
        <v>647</v>
      </c>
      <c r="C47" s="13" t="s">
        <v>742</v>
      </c>
      <c r="D47" s="13" t="s">
        <v>759</v>
      </c>
      <c r="E47" s="13" t="s">
        <v>146</v>
      </c>
      <c r="F47" s="13" t="s">
        <v>145</v>
      </c>
      <c r="G47" s="13" t="s">
        <v>760</v>
      </c>
      <c r="H47" s="13" t="s">
        <v>633</v>
      </c>
      <c r="I47" s="13" t="s">
        <v>761</v>
      </c>
      <c r="J47" s="13" t="s">
        <v>633</v>
      </c>
      <c r="K47" s="13" t="s">
        <v>422</v>
      </c>
      <c r="L47" s="13" t="s">
        <v>191</v>
      </c>
      <c r="M47" s="13" t="s">
        <v>762</v>
      </c>
    </row>
    <row r="48" customFormat="false" ht="23.85" hidden="false" customHeight="false" outlineLevel="0" collapsed="false">
      <c r="A48" s="13" t="s">
        <v>73</v>
      </c>
      <c r="B48" s="13" t="s">
        <v>650</v>
      </c>
      <c r="C48" s="13" t="s">
        <v>742</v>
      </c>
      <c r="D48" s="13" t="s">
        <v>763</v>
      </c>
      <c r="E48" s="13" t="s">
        <v>145</v>
      </c>
      <c r="F48" s="13" t="s">
        <v>454</v>
      </c>
      <c r="G48" s="13" t="s">
        <v>55</v>
      </c>
      <c r="H48" s="13" t="s">
        <v>764</v>
      </c>
      <c r="I48" s="13" t="s">
        <v>765</v>
      </c>
      <c r="J48" s="13" t="s">
        <v>633</v>
      </c>
      <c r="K48" s="13" t="s">
        <v>764</v>
      </c>
      <c r="L48" s="13" t="s">
        <v>293</v>
      </c>
      <c r="M48" s="13" t="s">
        <v>766</v>
      </c>
    </row>
    <row r="49" customFormat="false" ht="35.05" hidden="false" customHeight="false" outlineLevel="0" collapsed="false">
      <c r="A49" s="13" t="s">
        <v>73</v>
      </c>
      <c r="B49" s="13" t="s">
        <v>653</v>
      </c>
      <c r="C49" s="13" t="s">
        <v>742</v>
      </c>
      <c r="D49" s="13" t="s">
        <v>767</v>
      </c>
      <c r="E49" s="13" t="s">
        <v>454</v>
      </c>
      <c r="F49" s="13" t="s">
        <v>454</v>
      </c>
      <c r="G49" s="13" t="s">
        <v>220</v>
      </c>
      <c r="H49" s="13" t="s">
        <v>633</v>
      </c>
      <c r="I49" s="13" t="s">
        <v>765</v>
      </c>
      <c r="J49" s="13" t="s">
        <v>768</v>
      </c>
      <c r="K49" s="13" t="s">
        <v>769</v>
      </c>
      <c r="L49" s="13" t="s">
        <v>634</v>
      </c>
      <c r="M49" s="13" t="s">
        <v>770</v>
      </c>
    </row>
    <row r="50" customFormat="false" ht="23.85" hidden="false" customHeight="false" outlineLevel="0" collapsed="false">
      <c r="A50" s="13" t="s">
        <v>73</v>
      </c>
      <c r="B50" s="13" t="s">
        <v>658</v>
      </c>
      <c r="C50" s="13" t="s">
        <v>742</v>
      </c>
      <c r="D50" s="13" t="s">
        <v>771</v>
      </c>
      <c r="E50" s="13" t="s">
        <v>145</v>
      </c>
      <c r="F50" s="13" t="s">
        <v>631</v>
      </c>
      <c r="G50" s="13" t="s">
        <v>772</v>
      </c>
      <c r="H50" s="13" t="s">
        <v>633</v>
      </c>
      <c r="I50" s="13" t="s">
        <v>773</v>
      </c>
      <c r="J50" s="13" t="s">
        <v>633</v>
      </c>
      <c r="K50" s="13" t="s">
        <v>633</v>
      </c>
      <c r="L50" s="13" t="s">
        <v>634</v>
      </c>
      <c r="M50" s="13" t="s">
        <v>141</v>
      </c>
    </row>
    <row r="51" customFormat="false" ht="15" hidden="false" customHeight="false" outlineLevel="0" collapsed="false">
      <c r="A51" s="13" t="s">
        <v>73</v>
      </c>
      <c r="B51" s="13" t="s">
        <v>661</v>
      </c>
      <c r="C51" s="13" t="s">
        <v>774</v>
      </c>
      <c r="D51" s="13" t="s">
        <v>775</v>
      </c>
      <c r="E51" s="13" t="s">
        <v>744</v>
      </c>
      <c r="F51" s="13" t="s">
        <v>146</v>
      </c>
      <c r="G51" s="13" t="s">
        <v>228</v>
      </c>
      <c r="H51" s="13" t="s">
        <v>776</v>
      </c>
      <c r="I51" s="13" t="s">
        <v>777</v>
      </c>
      <c r="J51" s="13" t="s">
        <v>540</v>
      </c>
      <c r="K51" s="13" t="s">
        <v>633</v>
      </c>
      <c r="L51" s="13" t="s">
        <v>191</v>
      </c>
      <c r="M51" s="13" t="s">
        <v>222</v>
      </c>
    </row>
    <row r="52" customFormat="false" ht="15" hidden="false" customHeight="false" outlineLevel="0" collapsed="false">
      <c r="A52" s="13" t="s">
        <v>73</v>
      </c>
      <c r="B52" s="13" t="s">
        <v>664</v>
      </c>
      <c r="C52" s="13" t="s">
        <v>774</v>
      </c>
      <c r="D52" s="13" t="s">
        <v>778</v>
      </c>
      <c r="E52" s="13" t="s">
        <v>146</v>
      </c>
      <c r="F52" s="13" t="s">
        <v>146</v>
      </c>
      <c r="G52" s="13" t="s">
        <v>220</v>
      </c>
      <c r="H52" s="13" t="s">
        <v>233</v>
      </c>
      <c r="I52" s="13" t="s">
        <v>777</v>
      </c>
      <c r="J52" s="13" t="s">
        <v>633</v>
      </c>
      <c r="K52" s="13" t="s">
        <v>779</v>
      </c>
      <c r="L52" s="13" t="s">
        <v>191</v>
      </c>
      <c r="M52" s="13" t="s">
        <v>780</v>
      </c>
    </row>
    <row r="53" customFormat="false" ht="23.85" hidden="false" customHeight="false" outlineLevel="0" collapsed="false">
      <c r="A53" s="13" t="s">
        <v>73</v>
      </c>
      <c r="B53" s="13" t="s">
        <v>781</v>
      </c>
      <c r="C53" s="13" t="s">
        <v>782</v>
      </c>
      <c r="D53" s="13" t="s">
        <v>783</v>
      </c>
      <c r="E53" s="13" t="s">
        <v>146</v>
      </c>
      <c r="F53" s="13" t="s">
        <v>146</v>
      </c>
      <c r="G53" s="13" t="s">
        <v>220</v>
      </c>
      <c r="H53" s="13" t="s">
        <v>776</v>
      </c>
      <c r="I53" s="13" t="s">
        <v>777</v>
      </c>
      <c r="J53" s="13" t="s">
        <v>543</v>
      </c>
      <c r="K53" s="13" t="s">
        <v>779</v>
      </c>
      <c r="L53" s="13" t="s">
        <v>191</v>
      </c>
      <c r="M53" s="13" t="s">
        <v>784</v>
      </c>
    </row>
    <row r="54" customFormat="false" ht="35.05" hidden="false" customHeight="false" outlineLevel="0" collapsed="false">
      <c r="A54" s="13" t="s">
        <v>73</v>
      </c>
      <c r="B54" s="13" t="s">
        <v>785</v>
      </c>
      <c r="C54" s="13" t="s">
        <v>782</v>
      </c>
      <c r="D54" s="13" t="s">
        <v>786</v>
      </c>
      <c r="E54" s="13" t="s">
        <v>146</v>
      </c>
      <c r="F54" s="13" t="s">
        <v>249</v>
      </c>
      <c r="G54" s="13" t="s">
        <v>55</v>
      </c>
      <c r="H54" s="13" t="s">
        <v>787</v>
      </c>
      <c r="I54" s="13" t="s">
        <v>491</v>
      </c>
      <c r="J54" s="13" t="s">
        <v>633</v>
      </c>
      <c r="K54" s="13" t="s">
        <v>779</v>
      </c>
      <c r="L54" s="13" t="s">
        <v>250</v>
      </c>
      <c r="M54" s="13" t="s">
        <v>788</v>
      </c>
    </row>
    <row r="55" customFormat="false" ht="23.85" hidden="false" customHeight="false" outlineLevel="0" collapsed="false">
      <c r="A55" s="13" t="s">
        <v>73</v>
      </c>
      <c r="B55" s="13" t="s">
        <v>668</v>
      </c>
      <c r="C55" s="13" t="s">
        <v>782</v>
      </c>
      <c r="D55" s="13" t="s">
        <v>789</v>
      </c>
      <c r="E55" s="13" t="s">
        <v>145</v>
      </c>
      <c r="F55" s="13" t="s">
        <v>145</v>
      </c>
      <c r="G55" s="13" t="s">
        <v>220</v>
      </c>
      <c r="H55" s="13" t="s">
        <v>633</v>
      </c>
      <c r="I55" s="13" t="s">
        <v>790</v>
      </c>
      <c r="J55" s="13" t="s">
        <v>572</v>
      </c>
      <c r="K55" s="13" t="s">
        <v>791</v>
      </c>
      <c r="L55" s="13" t="s">
        <v>634</v>
      </c>
      <c r="M55" s="13" t="s">
        <v>294</v>
      </c>
    </row>
    <row r="56" customFormat="false" ht="23.85" hidden="false" customHeight="false" outlineLevel="0" collapsed="false">
      <c r="A56" s="13" t="s">
        <v>73</v>
      </c>
      <c r="B56" s="13" t="s">
        <v>671</v>
      </c>
      <c r="C56" s="13" t="s">
        <v>782</v>
      </c>
      <c r="D56" s="13" t="s">
        <v>792</v>
      </c>
      <c r="E56" s="13" t="s">
        <v>145</v>
      </c>
      <c r="F56" s="13" t="s">
        <v>744</v>
      </c>
      <c r="G56" s="13" t="s">
        <v>793</v>
      </c>
      <c r="H56" s="13" t="s">
        <v>633</v>
      </c>
      <c r="I56" s="13" t="s">
        <v>794</v>
      </c>
      <c r="J56" s="13" t="s">
        <v>633</v>
      </c>
      <c r="K56" s="13" t="s">
        <v>633</v>
      </c>
      <c r="L56" s="13" t="s">
        <v>634</v>
      </c>
      <c r="M56" s="13" t="s">
        <v>294</v>
      </c>
    </row>
    <row r="57" customFormat="false" ht="35.05" hidden="false" customHeight="false" outlineLevel="0" collapsed="false">
      <c r="A57" s="13" t="s">
        <v>73</v>
      </c>
      <c r="B57" s="13" t="s">
        <v>673</v>
      </c>
      <c r="C57" s="13" t="s">
        <v>782</v>
      </c>
      <c r="D57" s="13" t="s">
        <v>795</v>
      </c>
      <c r="E57" s="13" t="s">
        <v>454</v>
      </c>
      <c r="F57" s="13" t="s">
        <v>454</v>
      </c>
      <c r="G57" s="13" t="s">
        <v>220</v>
      </c>
      <c r="H57" s="13" t="s">
        <v>633</v>
      </c>
      <c r="I57" s="13" t="s">
        <v>796</v>
      </c>
      <c r="J57" s="13" t="s">
        <v>768</v>
      </c>
      <c r="K57" s="13" t="s">
        <v>769</v>
      </c>
      <c r="L57" s="13" t="s">
        <v>634</v>
      </c>
      <c r="M57" s="13" t="s">
        <v>294</v>
      </c>
    </row>
    <row r="58" customFormat="false" ht="23.85" hidden="false" customHeight="false" outlineLevel="0" collapsed="false">
      <c r="A58" s="13" t="s">
        <v>73</v>
      </c>
      <c r="B58" s="13" t="s">
        <v>797</v>
      </c>
      <c r="C58" s="13" t="s">
        <v>798</v>
      </c>
      <c r="D58" s="13" t="s">
        <v>799</v>
      </c>
      <c r="E58" s="13" t="s">
        <v>146</v>
      </c>
      <c r="F58" s="13" t="s">
        <v>146</v>
      </c>
      <c r="G58" s="13" t="s">
        <v>220</v>
      </c>
      <c r="H58" s="13" t="s">
        <v>776</v>
      </c>
      <c r="I58" s="13" t="s">
        <v>777</v>
      </c>
      <c r="J58" s="13" t="s">
        <v>547</v>
      </c>
      <c r="K58" s="13" t="s">
        <v>779</v>
      </c>
      <c r="L58" s="13" t="s">
        <v>191</v>
      </c>
      <c r="M58" s="13" t="s">
        <v>240</v>
      </c>
    </row>
    <row r="59" customFormat="false" ht="35.05" hidden="false" customHeight="false" outlineLevel="0" collapsed="false">
      <c r="A59" s="13" t="s">
        <v>73</v>
      </c>
      <c r="B59" s="13" t="s">
        <v>800</v>
      </c>
      <c r="C59" s="13" t="s">
        <v>798</v>
      </c>
      <c r="D59" s="13" t="s">
        <v>801</v>
      </c>
      <c r="E59" s="13" t="s">
        <v>146</v>
      </c>
      <c r="F59" s="13" t="s">
        <v>249</v>
      </c>
      <c r="G59" s="13" t="s">
        <v>55</v>
      </c>
      <c r="H59" s="13" t="s">
        <v>787</v>
      </c>
      <c r="I59" s="13" t="s">
        <v>495</v>
      </c>
      <c r="J59" s="13" t="s">
        <v>633</v>
      </c>
      <c r="K59" s="13" t="s">
        <v>779</v>
      </c>
      <c r="L59" s="13" t="s">
        <v>250</v>
      </c>
      <c r="M59" s="13" t="s">
        <v>802</v>
      </c>
    </row>
    <row r="60" customFormat="false" ht="23.85" hidden="false" customHeight="false" outlineLevel="0" collapsed="false">
      <c r="A60" s="13" t="s">
        <v>73</v>
      </c>
      <c r="B60" s="13" t="s">
        <v>682</v>
      </c>
      <c r="C60" s="13" t="s">
        <v>798</v>
      </c>
      <c r="D60" s="13" t="s">
        <v>803</v>
      </c>
      <c r="E60" s="13" t="s">
        <v>145</v>
      </c>
      <c r="F60" s="13" t="s">
        <v>145</v>
      </c>
      <c r="G60" s="13" t="s">
        <v>220</v>
      </c>
      <c r="H60" s="13" t="s">
        <v>633</v>
      </c>
      <c r="I60" s="13" t="s">
        <v>804</v>
      </c>
      <c r="J60" s="13" t="s">
        <v>572</v>
      </c>
      <c r="K60" s="13" t="s">
        <v>791</v>
      </c>
      <c r="L60" s="13" t="s">
        <v>634</v>
      </c>
      <c r="M60" s="13" t="s">
        <v>298</v>
      </c>
    </row>
    <row r="61" customFormat="false" ht="23.85" hidden="false" customHeight="false" outlineLevel="0" collapsed="false">
      <c r="A61" s="13" t="s">
        <v>73</v>
      </c>
      <c r="B61" s="13" t="s">
        <v>684</v>
      </c>
      <c r="C61" s="13" t="s">
        <v>798</v>
      </c>
      <c r="D61" s="13" t="s">
        <v>805</v>
      </c>
      <c r="E61" s="13" t="s">
        <v>145</v>
      </c>
      <c r="F61" s="13" t="s">
        <v>744</v>
      </c>
      <c r="G61" s="13" t="s">
        <v>793</v>
      </c>
      <c r="H61" s="13" t="s">
        <v>633</v>
      </c>
      <c r="I61" s="13" t="s">
        <v>806</v>
      </c>
      <c r="J61" s="13" t="s">
        <v>633</v>
      </c>
      <c r="K61" s="13" t="s">
        <v>633</v>
      </c>
      <c r="L61" s="13" t="s">
        <v>634</v>
      </c>
      <c r="M61" s="13" t="s">
        <v>298</v>
      </c>
    </row>
    <row r="62" customFormat="false" ht="35.05" hidden="false" customHeight="false" outlineLevel="0" collapsed="false">
      <c r="A62" s="13" t="s">
        <v>73</v>
      </c>
      <c r="B62" s="13" t="s">
        <v>686</v>
      </c>
      <c r="C62" s="13" t="s">
        <v>798</v>
      </c>
      <c r="D62" s="13" t="s">
        <v>807</v>
      </c>
      <c r="E62" s="13" t="s">
        <v>454</v>
      </c>
      <c r="F62" s="13" t="s">
        <v>454</v>
      </c>
      <c r="G62" s="13" t="s">
        <v>220</v>
      </c>
      <c r="H62" s="13" t="s">
        <v>633</v>
      </c>
      <c r="I62" s="13" t="s">
        <v>808</v>
      </c>
      <c r="J62" s="13" t="s">
        <v>768</v>
      </c>
      <c r="K62" s="13" t="s">
        <v>769</v>
      </c>
      <c r="L62" s="13" t="s">
        <v>634</v>
      </c>
      <c r="M62" s="13" t="s">
        <v>298</v>
      </c>
    </row>
    <row r="63" customFormat="false" ht="15" hidden="false" customHeight="false" outlineLevel="0" collapsed="false">
      <c r="A63" s="13" t="s">
        <v>74</v>
      </c>
      <c r="B63" s="13" t="s">
        <v>4</v>
      </c>
      <c r="C63" s="13" t="s">
        <v>809</v>
      </c>
      <c r="D63" s="13" t="s">
        <v>810</v>
      </c>
      <c r="E63" s="13" t="s">
        <v>91</v>
      </c>
      <c r="F63" s="13" t="s">
        <v>631</v>
      </c>
      <c r="G63" s="13" t="s">
        <v>632</v>
      </c>
      <c r="H63" s="13" t="s">
        <v>633</v>
      </c>
      <c r="I63" s="13" t="s">
        <v>633</v>
      </c>
      <c r="J63" s="13" t="s">
        <v>633</v>
      </c>
      <c r="K63" s="13" t="s">
        <v>633</v>
      </c>
      <c r="L63" s="13" t="s">
        <v>634</v>
      </c>
      <c r="M63" s="13"/>
    </row>
    <row r="64" customFormat="false" ht="23.85" hidden="false" customHeight="false" outlineLevel="0" collapsed="false">
      <c r="A64" s="13" t="s">
        <v>74</v>
      </c>
      <c r="B64" s="13" t="s">
        <v>6</v>
      </c>
      <c r="C64" s="13" t="s">
        <v>809</v>
      </c>
      <c r="D64" s="13" t="s">
        <v>811</v>
      </c>
      <c r="E64" s="13" t="s">
        <v>631</v>
      </c>
      <c r="F64" s="13" t="s">
        <v>631</v>
      </c>
      <c r="G64" s="13" t="s">
        <v>812</v>
      </c>
      <c r="H64" s="13" t="s">
        <v>633</v>
      </c>
      <c r="I64" s="13" t="s">
        <v>813</v>
      </c>
      <c r="J64" s="13" t="s">
        <v>633</v>
      </c>
      <c r="K64" s="13" t="s">
        <v>633</v>
      </c>
      <c r="L64" s="13" t="s">
        <v>634</v>
      </c>
      <c r="M64" s="13" t="s">
        <v>155</v>
      </c>
    </row>
    <row r="65" customFormat="false" ht="23.85" hidden="false" customHeight="false" outlineLevel="0" collapsed="false">
      <c r="A65" s="13" t="s">
        <v>74</v>
      </c>
      <c r="B65" s="13" t="s">
        <v>8</v>
      </c>
      <c r="C65" s="13" t="s">
        <v>809</v>
      </c>
      <c r="D65" s="13" t="s">
        <v>814</v>
      </c>
      <c r="E65" s="13" t="s">
        <v>631</v>
      </c>
      <c r="F65" s="13" t="s">
        <v>145</v>
      </c>
      <c r="G65" s="13" t="s">
        <v>649</v>
      </c>
      <c r="H65" s="13" t="s">
        <v>443</v>
      </c>
      <c r="I65" s="13" t="s">
        <v>815</v>
      </c>
      <c r="J65" s="13" t="s">
        <v>633</v>
      </c>
      <c r="K65" s="13" t="s">
        <v>422</v>
      </c>
      <c r="L65" s="13" t="s">
        <v>634</v>
      </c>
      <c r="M65" s="13" t="s">
        <v>155</v>
      </c>
    </row>
    <row r="66" customFormat="false" ht="23.85" hidden="false" customHeight="false" outlineLevel="0" collapsed="false">
      <c r="A66" s="13" t="s">
        <v>74</v>
      </c>
      <c r="B66" s="13" t="s">
        <v>10</v>
      </c>
      <c r="C66" s="13" t="s">
        <v>809</v>
      </c>
      <c r="D66" s="13" t="s">
        <v>816</v>
      </c>
      <c r="E66" s="13" t="s">
        <v>145</v>
      </c>
      <c r="F66" s="13" t="s">
        <v>145</v>
      </c>
      <c r="G66" s="13" t="s">
        <v>220</v>
      </c>
      <c r="H66" s="13" t="s">
        <v>633</v>
      </c>
      <c r="I66" s="13" t="s">
        <v>815</v>
      </c>
      <c r="J66" s="13" t="s">
        <v>633</v>
      </c>
      <c r="K66" s="13" t="s">
        <v>422</v>
      </c>
      <c r="L66" s="13" t="s">
        <v>634</v>
      </c>
      <c r="M66" s="13" t="s">
        <v>155</v>
      </c>
    </row>
    <row r="67" customFormat="false" ht="15" hidden="false" customHeight="false" outlineLevel="0" collapsed="false">
      <c r="A67" s="13" t="s">
        <v>74</v>
      </c>
      <c r="B67" s="13" t="s">
        <v>12</v>
      </c>
      <c r="C67" s="13" t="s">
        <v>809</v>
      </c>
      <c r="D67" s="13" t="s">
        <v>817</v>
      </c>
      <c r="E67" s="13" t="s">
        <v>145</v>
      </c>
      <c r="F67" s="13" t="s">
        <v>145</v>
      </c>
      <c r="G67" s="13" t="s">
        <v>220</v>
      </c>
      <c r="H67" s="13" t="s">
        <v>633</v>
      </c>
      <c r="I67" s="13" t="s">
        <v>818</v>
      </c>
      <c r="J67" s="13" t="s">
        <v>633</v>
      </c>
      <c r="K67" s="13" t="s">
        <v>422</v>
      </c>
      <c r="L67" s="13" t="s">
        <v>634</v>
      </c>
      <c r="M67" s="13" t="s">
        <v>155</v>
      </c>
    </row>
    <row r="68" customFormat="false" ht="23.85" hidden="false" customHeight="false" outlineLevel="0" collapsed="false">
      <c r="A68" s="13" t="s">
        <v>74</v>
      </c>
      <c r="B68" s="13" t="s">
        <v>645</v>
      </c>
      <c r="C68" s="13" t="s">
        <v>809</v>
      </c>
      <c r="D68" s="13" t="s">
        <v>819</v>
      </c>
      <c r="E68" s="13" t="s">
        <v>145</v>
      </c>
      <c r="F68" s="13" t="s">
        <v>454</v>
      </c>
      <c r="G68" s="13" t="s">
        <v>649</v>
      </c>
      <c r="H68" s="13" t="s">
        <v>443</v>
      </c>
      <c r="I68" s="13" t="s">
        <v>820</v>
      </c>
      <c r="J68" s="13" t="s">
        <v>633</v>
      </c>
      <c r="K68" s="13" t="s">
        <v>821</v>
      </c>
      <c r="L68" s="13" t="s">
        <v>125</v>
      </c>
      <c r="M68" s="13" t="s">
        <v>149</v>
      </c>
    </row>
    <row r="69" customFormat="false" ht="23.85" hidden="false" customHeight="false" outlineLevel="0" collapsed="false">
      <c r="A69" s="13" t="s">
        <v>74</v>
      </c>
      <c r="B69" s="13" t="s">
        <v>647</v>
      </c>
      <c r="C69" s="13" t="s">
        <v>809</v>
      </c>
      <c r="D69" s="13" t="s">
        <v>822</v>
      </c>
      <c r="E69" s="13" t="s">
        <v>454</v>
      </c>
      <c r="F69" s="13" t="s">
        <v>454</v>
      </c>
      <c r="G69" s="13" t="s">
        <v>220</v>
      </c>
      <c r="H69" s="13" t="s">
        <v>633</v>
      </c>
      <c r="I69" s="13" t="s">
        <v>823</v>
      </c>
      <c r="J69" s="13" t="s">
        <v>768</v>
      </c>
      <c r="K69" s="13" t="s">
        <v>821</v>
      </c>
      <c r="L69" s="13" t="s">
        <v>634</v>
      </c>
      <c r="M69" s="13" t="s">
        <v>824</v>
      </c>
    </row>
    <row r="70" customFormat="false" ht="15" hidden="false" customHeight="false" outlineLevel="0" collapsed="false">
      <c r="A70" s="13" t="s">
        <v>74</v>
      </c>
      <c r="B70" s="13" t="s">
        <v>650</v>
      </c>
      <c r="C70" s="13" t="s">
        <v>809</v>
      </c>
      <c r="D70" s="13" t="s">
        <v>825</v>
      </c>
      <c r="E70" s="13" t="s">
        <v>454</v>
      </c>
      <c r="F70" s="13" t="s">
        <v>145</v>
      </c>
      <c r="G70" s="13" t="s">
        <v>826</v>
      </c>
      <c r="H70" s="13" t="s">
        <v>827</v>
      </c>
      <c r="I70" s="13" t="s">
        <v>828</v>
      </c>
      <c r="J70" s="13" t="s">
        <v>633</v>
      </c>
      <c r="K70" s="13" t="s">
        <v>422</v>
      </c>
      <c r="L70" s="13" t="s">
        <v>125</v>
      </c>
      <c r="M70" s="13" t="s">
        <v>149</v>
      </c>
    </row>
    <row r="71" customFormat="false" ht="23.85" hidden="false" customHeight="false" outlineLevel="0" collapsed="false">
      <c r="A71" s="13" t="s">
        <v>74</v>
      </c>
      <c r="B71" s="13" t="s">
        <v>653</v>
      </c>
      <c r="C71" s="13" t="s">
        <v>809</v>
      </c>
      <c r="D71" s="13" t="s">
        <v>829</v>
      </c>
      <c r="E71" s="13" t="s">
        <v>145</v>
      </c>
      <c r="F71" s="13" t="s">
        <v>631</v>
      </c>
      <c r="G71" s="13" t="s">
        <v>826</v>
      </c>
      <c r="H71" s="13" t="s">
        <v>772</v>
      </c>
      <c r="I71" s="13" t="s">
        <v>828</v>
      </c>
      <c r="J71" s="13" t="s">
        <v>633</v>
      </c>
      <c r="K71" s="13" t="s">
        <v>631</v>
      </c>
      <c r="L71" s="13" t="s">
        <v>634</v>
      </c>
      <c r="M71" s="13" t="s">
        <v>149</v>
      </c>
    </row>
    <row r="72" customFormat="false" ht="15" hidden="false" customHeight="false" outlineLevel="0" collapsed="false">
      <c r="A72" s="13" t="s">
        <v>74</v>
      </c>
      <c r="B72" s="13" t="s">
        <v>658</v>
      </c>
      <c r="C72" s="13" t="s">
        <v>809</v>
      </c>
      <c r="D72" s="13" t="s">
        <v>830</v>
      </c>
      <c r="E72" s="13" t="s">
        <v>631</v>
      </c>
      <c r="F72" s="13" t="s">
        <v>91</v>
      </c>
      <c r="G72" s="13" t="s">
        <v>831</v>
      </c>
      <c r="H72" s="13" t="s">
        <v>832</v>
      </c>
      <c r="I72" s="13" t="s">
        <v>828</v>
      </c>
      <c r="J72" s="13" t="s">
        <v>633</v>
      </c>
      <c r="K72" s="13" t="s">
        <v>633</v>
      </c>
      <c r="L72" s="13" t="s">
        <v>634</v>
      </c>
      <c r="M72" s="13"/>
    </row>
    <row r="73" customFormat="false" ht="23.85" hidden="false" customHeight="false" outlineLevel="0" collapsed="false">
      <c r="A73" s="13" t="s">
        <v>74</v>
      </c>
      <c r="B73" s="13" t="s">
        <v>661</v>
      </c>
      <c r="C73" s="13" t="s">
        <v>833</v>
      </c>
      <c r="D73" s="13" t="s">
        <v>834</v>
      </c>
      <c r="E73" s="13" t="s">
        <v>454</v>
      </c>
      <c r="F73" s="13" t="s">
        <v>61</v>
      </c>
      <c r="G73" s="13" t="s">
        <v>649</v>
      </c>
      <c r="H73" s="13" t="s">
        <v>835</v>
      </c>
      <c r="I73" s="13" t="s">
        <v>836</v>
      </c>
      <c r="J73" s="13" t="s">
        <v>633</v>
      </c>
      <c r="K73" s="13" t="s">
        <v>455</v>
      </c>
      <c r="L73" s="13" t="s">
        <v>161</v>
      </c>
      <c r="M73" s="13" t="s">
        <v>837</v>
      </c>
    </row>
    <row r="74" customFormat="false" ht="23.85" hidden="false" customHeight="false" outlineLevel="0" collapsed="false">
      <c r="A74" s="13" t="s">
        <v>74</v>
      </c>
      <c r="B74" s="13" t="s">
        <v>664</v>
      </c>
      <c r="C74" s="13" t="s">
        <v>833</v>
      </c>
      <c r="D74" s="13" t="s">
        <v>838</v>
      </c>
      <c r="E74" s="13" t="s">
        <v>61</v>
      </c>
      <c r="F74" s="13" t="s">
        <v>61</v>
      </c>
      <c r="G74" s="13" t="s">
        <v>220</v>
      </c>
      <c r="H74" s="13" t="s">
        <v>839</v>
      </c>
      <c r="I74" s="13" t="s">
        <v>836</v>
      </c>
      <c r="J74" s="13" t="s">
        <v>262</v>
      </c>
      <c r="K74" s="13" t="s">
        <v>455</v>
      </c>
      <c r="L74" s="13" t="s">
        <v>634</v>
      </c>
      <c r="M74" s="13" t="s">
        <v>163</v>
      </c>
    </row>
    <row r="75" customFormat="false" ht="23.85" hidden="false" customHeight="false" outlineLevel="0" collapsed="false">
      <c r="A75" s="13" t="s">
        <v>74</v>
      </c>
      <c r="B75" s="13" t="s">
        <v>781</v>
      </c>
      <c r="C75" s="13" t="s">
        <v>833</v>
      </c>
      <c r="D75" s="13" t="s">
        <v>840</v>
      </c>
      <c r="E75" s="13" t="s">
        <v>61</v>
      </c>
      <c r="F75" s="13" t="s">
        <v>454</v>
      </c>
      <c r="G75" s="13" t="s">
        <v>826</v>
      </c>
      <c r="H75" s="13" t="s">
        <v>839</v>
      </c>
      <c r="I75" s="13" t="s">
        <v>841</v>
      </c>
      <c r="J75" s="13" t="s">
        <v>633</v>
      </c>
      <c r="K75" s="13" t="s">
        <v>842</v>
      </c>
      <c r="L75" s="13" t="s">
        <v>161</v>
      </c>
      <c r="M75" s="13" t="s">
        <v>843</v>
      </c>
    </row>
    <row r="76" customFormat="false" ht="23.85" hidden="false" customHeight="false" outlineLevel="0" collapsed="false">
      <c r="A76" s="13" t="s">
        <v>74</v>
      </c>
      <c r="B76" s="13" t="s">
        <v>785</v>
      </c>
      <c r="C76" s="13" t="s">
        <v>833</v>
      </c>
      <c r="D76" s="13" t="s">
        <v>844</v>
      </c>
      <c r="E76" s="13" t="s">
        <v>454</v>
      </c>
      <c r="F76" s="13" t="s">
        <v>454</v>
      </c>
      <c r="G76" s="13" t="s">
        <v>220</v>
      </c>
      <c r="H76" s="13" t="s">
        <v>633</v>
      </c>
      <c r="I76" s="13" t="s">
        <v>845</v>
      </c>
      <c r="J76" s="13" t="s">
        <v>566</v>
      </c>
      <c r="K76" s="13" t="s">
        <v>842</v>
      </c>
      <c r="L76" s="13" t="s">
        <v>634</v>
      </c>
      <c r="M76" s="13" t="s">
        <v>163</v>
      </c>
    </row>
    <row r="77" customFormat="false" ht="35.05" hidden="false" customHeight="false" outlineLevel="0" collapsed="false">
      <c r="A77" s="13" t="s">
        <v>74</v>
      </c>
      <c r="B77" s="13" t="s">
        <v>668</v>
      </c>
      <c r="C77" s="13" t="s">
        <v>833</v>
      </c>
      <c r="D77" s="13" t="s">
        <v>846</v>
      </c>
      <c r="E77" s="13" t="s">
        <v>454</v>
      </c>
      <c r="F77" s="13" t="s">
        <v>61</v>
      </c>
      <c r="G77" s="13" t="s">
        <v>649</v>
      </c>
      <c r="H77" s="13" t="s">
        <v>847</v>
      </c>
      <c r="I77" s="13" t="s">
        <v>848</v>
      </c>
      <c r="J77" s="13" t="s">
        <v>633</v>
      </c>
      <c r="K77" s="13" t="s">
        <v>462</v>
      </c>
      <c r="L77" s="13" t="s">
        <v>161</v>
      </c>
      <c r="M77" s="13" t="s">
        <v>168</v>
      </c>
    </row>
    <row r="78" customFormat="false" ht="23.85" hidden="false" customHeight="false" outlineLevel="0" collapsed="false">
      <c r="A78" s="13" t="s">
        <v>74</v>
      </c>
      <c r="B78" s="13" t="s">
        <v>671</v>
      </c>
      <c r="C78" s="13" t="s">
        <v>833</v>
      </c>
      <c r="D78" s="13" t="s">
        <v>849</v>
      </c>
      <c r="E78" s="13" t="s">
        <v>61</v>
      </c>
      <c r="F78" s="13" t="s">
        <v>61</v>
      </c>
      <c r="G78" s="13" t="s">
        <v>220</v>
      </c>
      <c r="H78" s="13" t="s">
        <v>633</v>
      </c>
      <c r="I78" s="13" t="s">
        <v>848</v>
      </c>
      <c r="J78" s="13" t="s">
        <v>633</v>
      </c>
      <c r="K78" s="13" t="s">
        <v>462</v>
      </c>
      <c r="L78" s="13" t="s">
        <v>634</v>
      </c>
      <c r="M78" s="13" t="s">
        <v>850</v>
      </c>
    </row>
    <row r="79" customFormat="false" ht="23.85" hidden="false" customHeight="false" outlineLevel="0" collapsed="false">
      <c r="A79" s="13" t="s">
        <v>74</v>
      </c>
      <c r="B79" s="13" t="s">
        <v>673</v>
      </c>
      <c r="C79" s="13" t="s">
        <v>833</v>
      </c>
      <c r="D79" s="13" t="s">
        <v>851</v>
      </c>
      <c r="E79" s="13" t="s">
        <v>61</v>
      </c>
      <c r="F79" s="13" t="s">
        <v>454</v>
      </c>
      <c r="G79" s="13" t="s">
        <v>826</v>
      </c>
      <c r="H79" s="13" t="s">
        <v>852</v>
      </c>
      <c r="I79" s="13" t="s">
        <v>773</v>
      </c>
      <c r="J79" s="13" t="s">
        <v>633</v>
      </c>
      <c r="K79" s="13" t="s">
        <v>842</v>
      </c>
      <c r="L79" s="13" t="s">
        <v>161</v>
      </c>
      <c r="M79" s="13" t="s">
        <v>168</v>
      </c>
    </row>
    <row r="80" customFormat="false" ht="35.05" hidden="false" customHeight="false" outlineLevel="0" collapsed="false">
      <c r="A80" s="13" t="s">
        <v>74</v>
      </c>
      <c r="B80" s="13" t="s">
        <v>797</v>
      </c>
      <c r="C80" s="13" t="s">
        <v>833</v>
      </c>
      <c r="D80" s="13" t="s">
        <v>853</v>
      </c>
      <c r="E80" s="13" t="s">
        <v>454</v>
      </c>
      <c r="F80" s="13" t="s">
        <v>146</v>
      </c>
      <c r="G80" s="13" t="s">
        <v>854</v>
      </c>
      <c r="H80" s="13" t="s">
        <v>253</v>
      </c>
      <c r="I80" s="13" t="s">
        <v>855</v>
      </c>
      <c r="J80" s="13" t="s">
        <v>633</v>
      </c>
      <c r="K80" s="13" t="s">
        <v>191</v>
      </c>
      <c r="L80" s="13" t="s">
        <v>139</v>
      </c>
      <c r="M80" s="13" t="s">
        <v>856</v>
      </c>
    </row>
    <row r="81" customFormat="false" ht="23.85" hidden="false" customHeight="false" outlineLevel="0" collapsed="false">
      <c r="A81" s="13" t="s">
        <v>74</v>
      </c>
      <c r="B81" s="13" t="s">
        <v>800</v>
      </c>
      <c r="C81" s="13" t="s">
        <v>833</v>
      </c>
      <c r="D81" s="13" t="s">
        <v>857</v>
      </c>
      <c r="E81" s="13" t="s">
        <v>146</v>
      </c>
      <c r="F81" s="13" t="s">
        <v>61</v>
      </c>
      <c r="G81" s="13" t="s">
        <v>228</v>
      </c>
      <c r="H81" s="13" t="s">
        <v>776</v>
      </c>
      <c r="I81" s="13" t="s">
        <v>777</v>
      </c>
      <c r="J81" s="13" t="s">
        <v>633</v>
      </c>
      <c r="K81" s="13" t="s">
        <v>776</v>
      </c>
      <c r="L81" s="13" t="s">
        <v>191</v>
      </c>
      <c r="M81" s="13" t="s">
        <v>858</v>
      </c>
    </row>
    <row r="82" customFormat="false" ht="23.85" hidden="false" customHeight="false" outlineLevel="0" collapsed="false">
      <c r="A82" s="13" t="s">
        <v>74</v>
      </c>
      <c r="B82" s="13" t="s">
        <v>682</v>
      </c>
      <c r="C82" s="13" t="s">
        <v>833</v>
      </c>
      <c r="D82" s="13" t="s">
        <v>859</v>
      </c>
      <c r="E82" s="13" t="s">
        <v>61</v>
      </c>
      <c r="F82" s="13" t="s">
        <v>61</v>
      </c>
      <c r="G82" s="13" t="s">
        <v>228</v>
      </c>
      <c r="H82" s="13" t="s">
        <v>776</v>
      </c>
      <c r="I82" s="13" t="s">
        <v>777</v>
      </c>
      <c r="J82" s="13" t="s">
        <v>551</v>
      </c>
      <c r="K82" s="13" t="s">
        <v>860</v>
      </c>
      <c r="L82" s="13" t="s">
        <v>634</v>
      </c>
      <c r="M82" s="13" t="s">
        <v>258</v>
      </c>
    </row>
    <row r="83" customFormat="false" ht="35.05" hidden="false" customHeight="false" outlineLevel="0" collapsed="false">
      <c r="A83" s="13" t="s">
        <v>74</v>
      </c>
      <c r="B83" s="13" t="s">
        <v>684</v>
      </c>
      <c r="C83" s="13" t="s">
        <v>833</v>
      </c>
      <c r="D83" s="13" t="s">
        <v>861</v>
      </c>
      <c r="E83" s="13" t="s">
        <v>146</v>
      </c>
      <c r="F83" s="13" t="s">
        <v>454</v>
      </c>
      <c r="G83" s="13" t="s">
        <v>55</v>
      </c>
      <c r="H83" s="13" t="s">
        <v>862</v>
      </c>
      <c r="I83" s="13" t="s">
        <v>798</v>
      </c>
      <c r="J83" s="13" t="s">
        <v>633</v>
      </c>
      <c r="K83" s="13" t="s">
        <v>191</v>
      </c>
      <c r="L83" s="13" t="s">
        <v>250</v>
      </c>
      <c r="M83" s="13" t="s">
        <v>863</v>
      </c>
    </row>
    <row r="84" customFormat="false" ht="35.05" hidden="false" customHeight="false" outlineLevel="0" collapsed="false">
      <c r="A84" s="13" t="s">
        <v>74</v>
      </c>
      <c r="B84" s="13" t="s">
        <v>686</v>
      </c>
      <c r="C84" s="13" t="s">
        <v>833</v>
      </c>
      <c r="D84" s="13" t="s">
        <v>864</v>
      </c>
      <c r="E84" s="13" t="s">
        <v>454</v>
      </c>
      <c r="F84" s="13" t="s">
        <v>454</v>
      </c>
      <c r="G84" s="13" t="s">
        <v>220</v>
      </c>
      <c r="H84" s="13" t="s">
        <v>633</v>
      </c>
      <c r="I84" s="13" t="s">
        <v>865</v>
      </c>
      <c r="J84" s="13" t="s">
        <v>866</v>
      </c>
      <c r="K84" s="13" t="s">
        <v>821</v>
      </c>
      <c r="L84" s="13" t="s">
        <v>634</v>
      </c>
      <c r="M84" s="13" t="s">
        <v>867</v>
      </c>
    </row>
    <row r="85" customFormat="false" ht="23.85" hidden="false" customHeight="false" outlineLevel="0" collapsed="false">
      <c r="A85" s="13" t="s">
        <v>74</v>
      </c>
      <c r="B85" s="13" t="s">
        <v>868</v>
      </c>
      <c r="C85" s="13" t="s">
        <v>833</v>
      </c>
      <c r="D85" s="13" t="s">
        <v>869</v>
      </c>
      <c r="E85" s="13" t="s">
        <v>61</v>
      </c>
      <c r="F85" s="13" t="s">
        <v>454</v>
      </c>
      <c r="G85" s="13" t="s">
        <v>55</v>
      </c>
      <c r="H85" s="13" t="s">
        <v>862</v>
      </c>
      <c r="I85" s="13" t="s">
        <v>508</v>
      </c>
      <c r="J85" s="13" t="s">
        <v>633</v>
      </c>
      <c r="K85" s="13" t="s">
        <v>821</v>
      </c>
      <c r="L85" s="13" t="s">
        <v>250</v>
      </c>
      <c r="M85" s="13" t="s">
        <v>311</v>
      </c>
    </row>
    <row r="86" customFormat="false" ht="23.85" hidden="false" customHeight="false" outlineLevel="0" collapsed="false">
      <c r="A86" s="13" t="s">
        <v>74</v>
      </c>
      <c r="B86" s="13" t="s">
        <v>870</v>
      </c>
      <c r="C86" s="13" t="s">
        <v>833</v>
      </c>
      <c r="D86" s="13" t="s">
        <v>871</v>
      </c>
      <c r="E86" s="13" t="s">
        <v>454</v>
      </c>
      <c r="F86" s="13" t="s">
        <v>454</v>
      </c>
      <c r="G86" s="13" t="s">
        <v>220</v>
      </c>
      <c r="H86" s="13" t="s">
        <v>633</v>
      </c>
      <c r="I86" s="13" t="s">
        <v>872</v>
      </c>
      <c r="J86" s="13" t="s">
        <v>866</v>
      </c>
      <c r="K86" s="13" t="s">
        <v>821</v>
      </c>
      <c r="L86" s="13" t="s">
        <v>634</v>
      </c>
      <c r="M86" s="13" t="s">
        <v>311</v>
      </c>
    </row>
    <row r="87" customFormat="false" ht="23.85" hidden="false" customHeight="false" outlineLevel="0" collapsed="false">
      <c r="A87" s="13" t="s">
        <v>74</v>
      </c>
      <c r="B87" s="13" t="s">
        <v>688</v>
      </c>
      <c r="C87" s="13" t="s">
        <v>833</v>
      </c>
      <c r="D87" s="13" t="s">
        <v>873</v>
      </c>
      <c r="E87" s="13" t="s">
        <v>61</v>
      </c>
      <c r="F87" s="13" t="s">
        <v>61</v>
      </c>
      <c r="G87" s="13" t="s">
        <v>220</v>
      </c>
      <c r="H87" s="13" t="s">
        <v>633</v>
      </c>
      <c r="I87" s="13" t="s">
        <v>874</v>
      </c>
      <c r="J87" s="13" t="s">
        <v>633</v>
      </c>
      <c r="K87" s="13" t="s">
        <v>61</v>
      </c>
      <c r="L87" s="13" t="s">
        <v>634</v>
      </c>
      <c r="M87" s="13" t="s">
        <v>311</v>
      </c>
    </row>
    <row r="88" customFormat="false" ht="23.85" hidden="false" customHeight="false" outlineLevel="0" collapsed="false">
      <c r="A88" s="13" t="s">
        <v>74</v>
      </c>
      <c r="B88" s="13" t="s">
        <v>692</v>
      </c>
      <c r="C88" s="13" t="s">
        <v>833</v>
      </c>
      <c r="D88" s="13" t="s">
        <v>875</v>
      </c>
      <c r="E88" s="13" t="s">
        <v>61</v>
      </c>
      <c r="F88" s="13" t="s">
        <v>61</v>
      </c>
      <c r="G88" s="13" t="s">
        <v>220</v>
      </c>
      <c r="H88" s="13" t="s">
        <v>633</v>
      </c>
      <c r="I88" s="13" t="s">
        <v>876</v>
      </c>
      <c r="J88" s="13" t="s">
        <v>555</v>
      </c>
      <c r="K88" s="13" t="s">
        <v>61</v>
      </c>
      <c r="L88" s="13" t="s">
        <v>634</v>
      </c>
      <c r="M88" s="13" t="s">
        <v>311</v>
      </c>
    </row>
    <row r="89" customFormat="false" ht="35.05" hidden="false" customHeight="false" outlineLevel="0" collapsed="false">
      <c r="A89" s="13" t="s">
        <v>74</v>
      </c>
      <c r="B89" s="13" t="s">
        <v>877</v>
      </c>
      <c r="C89" s="13" t="s">
        <v>878</v>
      </c>
      <c r="D89" s="13" t="s">
        <v>879</v>
      </c>
      <c r="E89" s="13" t="s">
        <v>454</v>
      </c>
      <c r="F89" s="13" t="s">
        <v>146</v>
      </c>
      <c r="G89" s="13" t="s">
        <v>854</v>
      </c>
      <c r="H89" s="13" t="s">
        <v>253</v>
      </c>
      <c r="I89" s="13" t="s">
        <v>880</v>
      </c>
      <c r="J89" s="13" t="s">
        <v>633</v>
      </c>
      <c r="K89" s="13" t="s">
        <v>191</v>
      </c>
      <c r="L89" s="13" t="s">
        <v>139</v>
      </c>
      <c r="M89" s="13" t="s">
        <v>881</v>
      </c>
    </row>
    <row r="90" customFormat="false" ht="23.85" hidden="false" customHeight="false" outlineLevel="0" collapsed="false">
      <c r="A90" s="13" t="s">
        <v>74</v>
      </c>
      <c r="B90" s="13" t="s">
        <v>882</v>
      </c>
      <c r="C90" s="13" t="s">
        <v>878</v>
      </c>
      <c r="D90" s="13" t="s">
        <v>883</v>
      </c>
      <c r="E90" s="13" t="s">
        <v>146</v>
      </c>
      <c r="F90" s="13" t="s">
        <v>137</v>
      </c>
      <c r="G90" s="13" t="s">
        <v>649</v>
      </c>
      <c r="H90" s="13" t="s">
        <v>188</v>
      </c>
      <c r="I90" s="13" t="s">
        <v>884</v>
      </c>
      <c r="J90" s="13" t="s">
        <v>633</v>
      </c>
      <c r="K90" s="13" t="s">
        <v>885</v>
      </c>
      <c r="L90" s="13" t="s">
        <v>191</v>
      </c>
      <c r="M90" s="13" t="s">
        <v>886</v>
      </c>
    </row>
    <row r="91" customFormat="false" ht="23.85" hidden="false" customHeight="false" outlineLevel="0" collapsed="false">
      <c r="A91" s="13" t="s">
        <v>74</v>
      </c>
      <c r="B91" s="13" t="s">
        <v>696</v>
      </c>
      <c r="C91" s="13" t="s">
        <v>878</v>
      </c>
      <c r="D91" s="13" t="s">
        <v>887</v>
      </c>
      <c r="E91" s="13" t="s">
        <v>137</v>
      </c>
      <c r="F91" s="13" t="s">
        <v>137</v>
      </c>
      <c r="G91" s="13" t="s">
        <v>220</v>
      </c>
      <c r="H91" s="13" t="s">
        <v>633</v>
      </c>
      <c r="I91" s="13" t="s">
        <v>884</v>
      </c>
      <c r="J91" s="13" t="s">
        <v>558</v>
      </c>
      <c r="K91" s="13" t="s">
        <v>885</v>
      </c>
      <c r="L91" s="13" t="s">
        <v>634</v>
      </c>
      <c r="M91" s="13" t="s">
        <v>187</v>
      </c>
    </row>
    <row r="92" customFormat="false" ht="23.85" hidden="false" customHeight="false" outlineLevel="0" collapsed="false">
      <c r="A92" s="13" t="s">
        <v>74</v>
      </c>
      <c r="B92" s="13" t="s">
        <v>698</v>
      </c>
      <c r="C92" s="13" t="s">
        <v>878</v>
      </c>
      <c r="D92" s="13" t="s">
        <v>888</v>
      </c>
      <c r="E92" s="13" t="s">
        <v>137</v>
      </c>
      <c r="F92" s="13" t="s">
        <v>146</v>
      </c>
      <c r="G92" s="13" t="s">
        <v>826</v>
      </c>
      <c r="H92" s="13" t="s">
        <v>889</v>
      </c>
      <c r="I92" s="13" t="s">
        <v>890</v>
      </c>
      <c r="J92" s="13" t="s">
        <v>633</v>
      </c>
      <c r="K92" s="13" t="s">
        <v>62</v>
      </c>
      <c r="L92" s="13" t="s">
        <v>191</v>
      </c>
      <c r="M92" s="13" t="s">
        <v>891</v>
      </c>
    </row>
    <row r="93" customFormat="false" ht="35.05" hidden="false" customHeight="false" outlineLevel="0" collapsed="false">
      <c r="A93" s="13" t="s">
        <v>74</v>
      </c>
      <c r="B93" s="13" t="s">
        <v>701</v>
      </c>
      <c r="C93" s="13" t="s">
        <v>878</v>
      </c>
      <c r="D93" s="13" t="s">
        <v>892</v>
      </c>
      <c r="E93" s="13" t="s">
        <v>146</v>
      </c>
      <c r="F93" s="13" t="s">
        <v>454</v>
      </c>
      <c r="G93" s="13" t="s">
        <v>55</v>
      </c>
      <c r="H93" s="13" t="s">
        <v>862</v>
      </c>
      <c r="I93" s="13" t="s">
        <v>893</v>
      </c>
      <c r="J93" s="13" t="s">
        <v>633</v>
      </c>
      <c r="K93" s="13" t="s">
        <v>191</v>
      </c>
      <c r="L93" s="13" t="s">
        <v>250</v>
      </c>
      <c r="M93" s="13" t="s">
        <v>894</v>
      </c>
    </row>
    <row r="94" customFormat="false" ht="35.05" hidden="false" customHeight="false" outlineLevel="0" collapsed="false">
      <c r="A94" s="13" t="s">
        <v>74</v>
      </c>
      <c r="B94" s="13" t="s">
        <v>703</v>
      </c>
      <c r="C94" s="13" t="s">
        <v>878</v>
      </c>
      <c r="D94" s="13" t="s">
        <v>895</v>
      </c>
      <c r="E94" s="13" t="s">
        <v>454</v>
      </c>
      <c r="F94" s="13" t="s">
        <v>454</v>
      </c>
      <c r="G94" s="13" t="s">
        <v>220</v>
      </c>
      <c r="H94" s="13" t="s">
        <v>633</v>
      </c>
      <c r="I94" s="13" t="s">
        <v>896</v>
      </c>
      <c r="J94" s="13" t="s">
        <v>866</v>
      </c>
      <c r="K94" s="13" t="s">
        <v>842</v>
      </c>
      <c r="L94" s="13" t="s">
        <v>634</v>
      </c>
      <c r="M94" s="13" t="s">
        <v>897</v>
      </c>
    </row>
    <row r="95" customFormat="false" ht="23.85" hidden="false" customHeight="false" outlineLevel="0" collapsed="false">
      <c r="A95" s="13" t="s">
        <v>74</v>
      </c>
      <c r="B95" s="13" t="s">
        <v>706</v>
      </c>
      <c r="C95" s="13" t="s">
        <v>878</v>
      </c>
      <c r="D95" s="13" t="s">
        <v>898</v>
      </c>
      <c r="E95" s="13" t="s">
        <v>454</v>
      </c>
      <c r="F95" s="13" t="s">
        <v>145</v>
      </c>
      <c r="G95" s="13" t="s">
        <v>55</v>
      </c>
      <c r="H95" s="13" t="s">
        <v>899</v>
      </c>
      <c r="I95" s="13" t="s">
        <v>521</v>
      </c>
      <c r="J95" s="13" t="s">
        <v>633</v>
      </c>
      <c r="K95" s="13" t="s">
        <v>899</v>
      </c>
      <c r="L95" s="13" t="s">
        <v>293</v>
      </c>
      <c r="M95" s="13" t="s">
        <v>324</v>
      </c>
    </row>
    <row r="96" customFormat="false" ht="23.85" hidden="false" customHeight="false" outlineLevel="0" collapsed="false">
      <c r="A96" s="13" t="s">
        <v>74</v>
      </c>
      <c r="B96" s="13" t="s">
        <v>708</v>
      </c>
      <c r="C96" s="13" t="s">
        <v>878</v>
      </c>
      <c r="D96" s="13" t="s">
        <v>900</v>
      </c>
      <c r="E96" s="13" t="s">
        <v>454</v>
      </c>
      <c r="F96" s="13" t="s">
        <v>122</v>
      </c>
      <c r="G96" s="13" t="s">
        <v>55</v>
      </c>
      <c r="H96" s="13" t="s">
        <v>901</v>
      </c>
      <c r="I96" s="13" t="s">
        <v>521</v>
      </c>
      <c r="J96" s="13" t="s">
        <v>633</v>
      </c>
      <c r="K96" s="13" t="s">
        <v>901</v>
      </c>
      <c r="L96" s="13" t="s">
        <v>293</v>
      </c>
      <c r="M96" s="13" t="s">
        <v>324</v>
      </c>
    </row>
    <row r="97" customFormat="false" ht="35.05" hidden="false" customHeight="false" outlineLevel="0" collapsed="false">
      <c r="A97" s="13" t="s">
        <v>74</v>
      </c>
      <c r="B97" s="13" t="s">
        <v>710</v>
      </c>
      <c r="C97" s="13" t="s">
        <v>878</v>
      </c>
      <c r="D97" s="13" t="s">
        <v>902</v>
      </c>
      <c r="E97" s="13" t="s">
        <v>454</v>
      </c>
      <c r="F97" s="13" t="s">
        <v>66</v>
      </c>
      <c r="G97" s="13" t="s">
        <v>649</v>
      </c>
      <c r="H97" s="13" t="s">
        <v>475</v>
      </c>
      <c r="I97" s="13" t="s">
        <v>903</v>
      </c>
      <c r="J97" s="13" t="s">
        <v>633</v>
      </c>
      <c r="K97" s="13" t="s">
        <v>904</v>
      </c>
      <c r="L97" s="13" t="s">
        <v>125</v>
      </c>
      <c r="M97" s="13" t="s">
        <v>193</v>
      </c>
    </row>
    <row r="98" customFormat="false" ht="23.85" hidden="false" customHeight="false" outlineLevel="0" collapsed="false">
      <c r="A98" s="13" t="s">
        <v>74</v>
      </c>
      <c r="B98" s="13" t="s">
        <v>711</v>
      </c>
      <c r="C98" s="13" t="s">
        <v>878</v>
      </c>
      <c r="D98" s="13" t="s">
        <v>905</v>
      </c>
      <c r="E98" s="13" t="s">
        <v>145</v>
      </c>
      <c r="F98" s="13" t="s">
        <v>631</v>
      </c>
      <c r="G98" s="13" t="s">
        <v>906</v>
      </c>
      <c r="H98" s="13" t="s">
        <v>631</v>
      </c>
      <c r="I98" s="13" t="s">
        <v>517</v>
      </c>
      <c r="J98" s="13" t="s">
        <v>633</v>
      </c>
      <c r="K98" s="13" t="s">
        <v>907</v>
      </c>
      <c r="L98" s="13" t="s">
        <v>634</v>
      </c>
      <c r="M98" s="13" t="s">
        <v>324</v>
      </c>
    </row>
    <row r="99" customFormat="false" ht="23.85" hidden="false" customHeight="false" outlineLevel="0" collapsed="false">
      <c r="A99" s="13" t="s">
        <v>74</v>
      </c>
      <c r="B99" s="13" t="s">
        <v>712</v>
      </c>
      <c r="C99" s="13" t="s">
        <v>878</v>
      </c>
      <c r="D99" s="13" t="s">
        <v>908</v>
      </c>
      <c r="E99" s="13" t="s">
        <v>631</v>
      </c>
      <c r="F99" s="13" t="s">
        <v>91</v>
      </c>
      <c r="G99" s="13" t="s">
        <v>831</v>
      </c>
      <c r="H99" s="13" t="s">
        <v>633</v>
      </c>
      <c r="I99" s="13" t="s">
        <v>517</v>
      </c>
      <c r="J99" s="13" t="s">
        <v>633</v>
      </c>
      <c r="K99" s="13" t="s">
        <v>633</v>
      </c>
      <c r="L99" s="13" t="s">
        <v>634</v>
      </c>
      <c r="M99" s="13" t="s">
        <v>324</v>
      </c>
    </row>
    <row r="100" customFormat="false" ht="23.85" hidden="false" customHeight="false" outlineLevel="0" collapsed="false">
      <c r="A100" s="13" t="s">
        <v>74</v>
      </c>
      <c r="B100" s="13" t="s">
        <v>716</v>
      </c>
      <c r="C100" s="13" t="s">
        <v>878</v>
      </c>
      <c r="D100" s="13" t="s">
        <v>909</v>
      </c>
      <c r="E100" s="13" t="s">
        <v>122</v>
      </c>
      <c r="F100" s="13" t="s">
        <v>40</v>
      </c>
      <c r="G100" s="13" t="s">
        <v>831</v>
      </c>
      <c r="H100" s="13" t="s">
        <v>633</v>
      </c>
      <c r="I100" s="13" t="s">
        <v>517</v>
      </c>
      <c r="J100" s="13" t="s">
        <v>633</v>
      </c>
      <c r="K100" s="13" t="s">
        <v>633</v>
      </c>
      <c r="L100" s="13" t="s">
        <v>634</v>
      </c>
      <c r="M100" s="13" t="s">
        <v>324</v>
      </c>
    </row>
    <row r="101" customFormat="false" ht="23.85" hidden="false" customHeight="false" outlineLevel="0" collapsed="false">
      <c r="A101" s="13" t="s">
        <v>74</v>
      </c>
      <c r="B101" s="13" t="s">
        <v>910</v>
      </c>
      <c r="C101" s="13" t="s">
        <v>878</v>
      </c>
      <c r="D101" s="13" t="s">
        <v>911</v>
      </c>
      <c r="E101" s="13" t="s">
        <v>912</v>
      </c>
      <c r="F101" s="13" t="s">
        <v>91</v>
      </c>
      <c r="G101" s="13" t="s">
        <v>913</v>
      </c>
      <c r="H101" s="13" t="s">
        <v>914</v>
      </c>
      <c r="I101" s="13" t="s">
        <v>903</v>
      </c>
      <c r="J101" s="13" t="s">
        <v>633</v>
      </c>
      <c r="K101" s="13" t="s">
        <v>633</v>
      </c>
      <c r="L101" s="13" t="s">
        <v>634</v>
      </c>
      <c r="M101" s="13" t="s">
        <v>193</v>
      </c>
    </row>
    <row r="102" customFormat="false" ht="23.85" hidden="false" customHeight="false" outlineLevel="0" collapsed="false">
      <c r="A102" s="13" t="s">
        <v>74</v>
      </c>
      <c r="B102" s="13" t="s">
        <v>915</v>
      </c>
      <c r="C102" s="13" t="s">
        <v>878</v>
      </c>
      <c r="D102" s="13" t="s">
        <v>916</v>
      </c>
      <c r="E102" s="13" t="s">
        <v>912</v>
      </c>
      <c r="F102" s="13" t="s">
        <v>40</v>
      </c>
      <c r="G102" s="13" t="s">
        <v>917</v>
      </c>
      <c r="H102" s="13" t="s">
        <v>918</v>
      </c>
      <c r="I102" s="13" t="s">
        <v>903</v>
      </c>
      <c r="J102" s="13" t="s">
        <v>633</v>
      </c>
      <c r="K102" s="13" t="s">
        <v>633</v>
      </c>
      <c r="L102" s="13" t="s">
        <v>634</v>
      </c>
      <c r="M102" s="13" t="s">
        <v>193</v>
      </c>
    </row>
    <row r="103" customFormat="false" ht="35.05" hidden="false" customHeight="false" outlineLevel="0" collapsed="false">
      <c r="A103" s="13" t="s">
        <v>74</v>
      </c>
      <c r="B103" s="13" t="s">
        <v>718</v>
      </c>
      <c r="C103" s="13" t="s">
        <v>919</v>
      </c>
      <c r="D103" s="13" t="s">
        <v>920</v>
      </c>
      <c r="E103" s="13" t="s">
        <v>454</v>
      </c>
      <c r="F103" s="13" t="s">
        <v>146</v>
      </c>
      <c r="G103" s="13" t="s">
        <v>854</v>
      </c>
      <c r="H103" s="13" t="s">
        <v>523</v>
      </c>
      <c r="I103" s="13" t="s">
        <v>525</v>
      </c>
      <c r="J103" s="13" t="s">
        <v>633</v>
      </c>
      <c r="K103" s="13" t="s">
        <v>921</v>
      </c>
      <c r="L103" s="13" t="s">
        <v>139</v>
      </c>
      <c r="M103" s="13" t="s">
        <v>922</v>
      </c>
    </row>
    <row r="104" customFormat="false" ht="35.05" hidden="false" customHeight="false" outlineLevel="0" collapsed="false">
      <c r="A104" s="13" t="s">
        <v>74</v>
      </c>
      <c r="B104" s="13" t="s">
        <v>721</v>
      </c>
      <c r="C104" s="13" t="s">
        <v>919</v>
      </c>
      <c r="D104" s="13" t="s">
        <v>923</v>
      </c>
      <c r="E104" s="13" t="s">
        <v>146</v>
      </c>
      <c r="F104" s="13" t="s">
        <v>146</v>
      </c>
      <c r="G104" s="13" t="s">
        <v>220</v>
      </c>
      <c r="H104" s="13" t="s">
        <v>633</v>
      </c>
      <c r="I104" s="13" t="s">
        <v>633</v>
      </c>
      <c r="J104" s="13" t="s">
        <v>633</v>
      </c>
      <c r="K104" s="13" t="s">
        <v>924</v>
      </c>
      <c r="L104" s="13" t="s">
        <v>191</v>
      </c>
      <c r="M104" s="13" t="s">
        <v>272</v>
      </c>
    </row>
    <row r="105" customFormat="false" ht="35.05" hidden="false" customHeight="false" outlineLevel="0" collapsed="false">
      <c r="A105" s="13" t="s">
        <v>74</v>
      </c>
      <c r="B105" s="13" t="s">
        <v>723</v>
      </c>
      <c r="C105" s="13" t="s">
        <v>919</v>
      </c>
      <c r="D105" s="13" t="s">
        <v>925</v>
      </c>
      <c r="E105" s="13" t="s">
        <v>146</v>
      </c>
      <c r="F105" s="13" t="s">
        <v>454</v>
      </c>
      <c r="G105" s="13" t="s">
        <v>55</v>
      </c>
      <c r="H105" s="13" t="s">
        <v>862</v>
      </c>
      <c r="I105" s="13" t="s">
        <v>525</v>
      </c>
      <c r="J105" s="13" t="s">
        <v>633</v>
      </c>
      <c r="K105" s="13" t="s">
        <v>862</v>
      </c>
      <c r="L105" s="13" t="s">
        <v>250</v>
      </c>
      <c r="M105" s="13" t="s">
        <v>926</v>
      </c>
    </row>
    <row r="106" customFormat="false" ht="35.05" hidden="false" customHeight="false" outlineLevel="0" collapsed="false">
      <c r="A106" s="13" t="s">
        <v>74</v>
      </c>
      <c r="B106" s="13" t="s">
        <v>725</v>
      </c>
      <c r="C106" s="13" t="s">
        <v>919</v>
      </c>
      <c r="D106" s="13" t="s">
        <v>927</v>
      </c>
      <c r="E106" s="13" t="s">
        <v>454</v>
      </c>
      <c r="F106" s="13" t="s">
        <v>454</v>
      </c>
      <c r="G106" s="13" t="s">
        <v>220</v>
      </c>
      <c r="H106" s="13" t="s">
        <v>633</v>
      </c>
      <c r="I106" s="13" t="s">
        <v>928</v>
      </c>
      <c r="J106" s="13" t="s">
        <v>569</v>
      </c>
      <c r="K106" s="13" t="s">
        <v>929</v>
      </c>
      <c r="L106" s="13" t="s">
        <v>634</v>
      </c>
      <c r="M106" s="13" t="s">
        <v>930</v>
      </c>
    </row>
  </sheetData>
  <autoFilter ref="A1:M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30" hidden="false" customHeight="true" outlineLevel="0" collapsed="false">
      <c r="A1" s="7" t="s">
        <v>105</v>
      </c>
      <c r="B1" s="7" t="s">
        <v>70</v>
      </c>
      <c r="C1" s="7" t="s">
        <v>931</v>
      </c>
      <c r="D1" s="7" t="s">
        <v>82</v>
      </c>
      <c r="E1" s="7" t="s">
        <v>932</v>
      </c>
      <c r="F1" s="7" t="s">
        <v>933</v>
      </c>
      <c r="G1" s="7" t="s">
        <v>114</v>
      </c>
      <c r="H1" s="7" t="s">
        <v>934</v>
      </c>
      <c r="I1" s="7" t="s">
        <v>935</v>
      </c>
    </row>
    <row r="2" customFormat="false" ht="23.85" hidden="false" customHeight="false" outlineLevel="0" collapsed="false">
      <c r="A2" s="13" t="s">
        <v>936</v>
      </c>
      <c r="B2" s="13" t="s">
        <v>72</v>
      </c>
      <c r="C2" s="13" t="s">
        <v>937</v>
      </c>
      <c r="D2" s="13" t="s">
        <v>938</v>
      </c>
      <c r="E2" s="13" t="s">
        <v>939</v>
      </c>
      <c r="F2" s="13" t="s">
        <v>118</v>
      </c>
      <c r="G2" s="13" t="s">
        <v>940</v>
      </c>
      <c r="H2" s="15"/>
      <c r="I2" s="15"/>
    </row>
    <row r="3" customFormat="false" ht="23.85" hidden="false" customHeight="false" outlineLevel="0" collapsed="false">
      <c r="A3" s="13" t="s">
        <v>370</v>
      </c>
      <c r="B3" s="13" t="s">
        <v>72</v>
      </c>
      <c r="C3" s="13" t="s">
        <v>941</v>
      </c>
      <c r="D3" s="13" t="s">
        <v>938</v>
      </c>
      <c r="E3" s="13" t="s">
        <v>942</v>
      </c>
      <c r="F3" s="13" t="s">
        <v>657</v>
      </c>
      <c r="G3" s="13" t="s">
        <v>49</v>
      </c>
      <c r="H3" s="15"/>
      <c r="I3" s="15"/>
    </row>
    <row r="4" customFormat="false" ht="23.85" hidden="false" customHeight="false" outlineLevel="0" collapsed="false">
      <c r="A4" s="13" t="s">
        <v>943</v>
      </c>
      <c r="B4" s="13" t="s">
        <v>72</v>
      </c>
      <c r="C4" s="13" t="s">
        <v>944</v>
      </c>
      <c r="D4" s="13" t="s">
        <v>938</v>
      </c>
      <c r="E4" s="13" t="s">
        <v>945</v>
      </c>
      <c r="F4" s="13" t="s">
        <v>239</v>
      </c>
      <c r="G4" s="13" t="s">
        <v>49</v>
      </c>
      <c r="H4" s="15"/>
      <c r="I4" s="15"/>
    </row>
    <row r="5" customFormat="false" ht="23.85" hidden="false" customHeight="false" outlineLevel="0" collapsed="false">
      <c r="A5" s="13" t="s">
        <v>288</v>
      </c>
      <c r="B5" s="13" t="s">
        <v>72</v>
      </c>
      <c r="C5" s="13" t="s">
        <v>946</v>
      </c>
      <c r="D5" s="13" t="s">
        <v>938</v>
      </c>
      <c r="E5" s="13" t="s">
        <v>947</v>
      </c>
      <c r="F5" s="13" t="s">
        <v>283</v>
      </c>
      <c r="G5" s="13" t="s">
        <v>49</v>
      </c>
      <c r="H5" s="15"/>
      <c r="I5" s="15"/>
    </row>
    <row r="6" customFormat="false" ht="15" hidden="false" customHeight="false" outlineLevel="0" collapsed="false">
      <c r="A6" s="13" t="s">
        <v>948</v>
      </c>
      <c r="B6" s="13" t="s">
        <v>72</v>
      </c>
      <c r="C6" s="13" t="s">
        <v>949</v>
      </c>
      <c r="D6" s="13" t="s">
        <v>938</v>
      </c>
      <c r="E6" s="13" t="s">
        <v>950</v>
      </c>
      <c r="F6" s="13" t="s">
        <v>128</v>
      </c>
      <c r="G6" s="13" t="s">
        <v>49</v>
      </c>
      <c r="H6" s="15"/>
      <c r="I6" s="15"/>
    </row>
    <row r="7" customFormat="false" ht="15" hidden="false" customHeight="false" outlineLevel="0" collapsed="false">
      <c r="A7" s="13" t="s">
        <v>951</v>
      </c>
      <c r="B7" s="13" t="s">
        <v>72</v>
      </c>
      <c r="C7" s="13" t="s">
        <v>952</v>
      </c>
      <c r="D7" s="13" t="s">
        <v>938</v>
      </c>
      <c r="E7" s="13" t="s">
        <v>939</v>
      </c>
      <c r="F7" s="13" t="s">
        <v>118</v>
      </c>
      <c r="G7" s="13" t="s">
        <v>49</v>
      </c>
      <c r="H7" s="15"/>
      <c r="I7" s="15"/>
    </row>
    <row r="8" customFormat="false" ht="23.85" hidden="false" customHeight="false" outlineLevel="0" collapsed="false">
      <c r="A8" s="13" t="s">
        <v>361</v>
      </c>
      <c r="B8" s="13" t="s">
        <v>67</v>
      </c>
      <c r="C8" s="13" t="s">
        <v>953</v>
      </c>
      <c r="D8" s="13" t="s">
        <v>938</v>
      </c>
      <c r="E8" s="13" t="s">
        <v>954</v>
      </c>
      <c r="F8" s="13" t="s">
        <v>356</v>
      </c>
      <c r="G8" s="13" t="s">
        <v>49</v>
      </c>
      <c r="H8" s="15"/>
      <c r="I8" s="15"/>
    </row>
    <row r="9" customFormat="false" ht="15" hidden="false" customHeight="false" outlineLevel="0" collapsed="false">
      <c r="A9" s="13" t="s">
        <v>140</v>
      </c>
      <c r="B9" s="13" t="s">
        <v>72</v>
      </c>
      <c r="C9" s="13" t="s">
        <v>955</v>
      </c>
      <c r="D9" s="13" t="s">
        <v>938</v>
      </c>
      <c r="E9" s="13" t="s">
        <v>945</v>
      </c>
      <c r="F9" s="13" t="s">
        <v>133</v>
      </c>
      <c r="G9" s="13" t="s">
        <v>49</v>
      </c>
      <c r="H9" s="15"/>
      <c r="I9" s="15"/>
    </row>
    <row r="10" customFormat="false" ht="23.85" hidden="false" customHeight="false" outlineLevel="0" collapsed="false">
      <c r="A10" s="13" t="s">
        <v>343</v>
      </c>
      <c r="B10" s="13" t="s">
        <v>72</v>
      </c>
      <c r="C10" s="13" t="s">
        <v>956</v>
      </c>
      <c r="D10" s="13" t="s">
        <v>938</v>
      </c>
      <c r="E10" s="13" t="s">
        <v>957</v>
      </c>
      <c r="F10" s="13" t="s">
        <v>337</v>
      </c>
      <c r="G10" s="13" t="s">
        <v>49</v>
      </c>
      <c r="H10" s="15"/>
      <c r="I10" s="15"/>
    </row>
    <row r="11" customFormat="false" ht="15" hidden="false" customHeight="false" outlineLevel="0" collapsed="false">
      <c r="A11" s="13" t="s">
        <v>251</v>
      </c>
      <c r="B11" s="13" t="s">
        <v>73</v>
      </c>
      <c r="C11" s="13" t="s">
        <v>958</v>
      </c>
      <c r="D11" s="13" t="s">
        <v>959</v>
      </c>
      <c r="E11" s="13" t="s">
        <v>957</v>
      </c>
      <c r="F11" s="13" t="s">
        <v>960</v>
      </c>
      <c r="G11" s="13" t="s">
        <v>49</v>
      </c>
      <c r="H11" s="15"/>
      <c r="I11" s="15"/>
    </row>
    <row r="12" customFormat="false" ht="23.85" hidden="false" customHeight="false" outlineLevel="0" collapsed="false">
      <c r="A12" s="13" t="s">
        <v>961</v>
      </c>
      <c r="B12" s="13" t="s">
        <v>73</v>
      </c>
      <c r="C12" s="13" t="s">
        <v>962</v>
      </c>
      <c r="D12" s="13" t="s">
        <v>963</v>
      </c>
      <c r="E12" s="13" t="s">
        <v>942</v>
      </c>
      <c r="F12" s="13"/>
      <c r="G12" s="13" t="s">
        <v>49</v>
      </c>
      <c r="H12" s="15"/>
      <c r="I12" s="15"/>
    </row>
    <row r="13" customFormat="false" ht="23.85" hidden="false" customHeight="false" outlineLevel="0" collapsed="false">
      <c r="A13" s="13" t="s">
        <v>179</v>
      </c>
      <c r="B13" s="13" t="s">
        <v>74</v>
      </c>
      <c r="C13" s="13" t="s">
        <v>964</v>
      </c>
      <c r="D13" s="13" t="s">
        <v>965</v>
      </c>
      <c r="E13" s="13" t="s">
        <v>966</v>
      </c>
      <c r="F13" s="13" t="s">
        <v>967</v>
      </c>
      <c r="G13" s="13" t="s">
        <v>49</v>
      </c>
      <c r="H13" s="15"/>
      <c r="I13" s="15"/>
    </row>
    <row r="14" customFormat="false" ht="15" hidden="false" customHeight="false" outlineLevel="0" collapsed="false">
      <c r="A14" s="13" t="s">
        <v>211</v>
      </c>
      <c r="B14" s="13" t="s">
        <v>74</v>
      </c>
      <c r="C14" s="13" t="s">
        <v>968</v>
      </c>
      <c r="D14" s="13" t="s">
        <v>965</v>
      </c>
      <c r="E14" s="13" t="s">
        <v>939</v>
      </c>
      <c r="F14" s="13" t="s">
        <v>969</v>
      </c>
      <c r="G14" s="13" t="s">
        <v>49</v>
      </c>
      <c r="H14" s="15"/>
      <c r="I14" s="15"/>
    </row>
    <row r="15" customFormat="false" ht="23.85" hidden="false" customHeight="false" outlineLevel="0" collapsed="false">
      <c r="A15" s="13" t="s">
        <v>162</v>
      </c>
      <c r="B15" s="13" t="s">
        <v>74</v>
      </c>
      <c r="C15" s="13" t="s">
        <v>970</v>
      </c>
      <c r="D15" s="13" t="s">
        <v>971</v>
      </c>
      <c r="E15" s="13" t="s">
        <v>972</v>
      </c>
      <c r="F15" s="13" t="s">
        <v>155</v>
      </c>
      <c r="G15" s="13" t="s">
        <v>49</v>
      </c>
      <c r="H15" s="15"/>
      <c r="I15" s="15"/>
    </row>
    <row r="16" customFormat="false" ht="23.85" hidden="false" customHeight="false" outlineLevel="0" collapsed="false">
      <c r="A16" s="13" t="s">
        <v>172</v>
      </c>
      <c r="B16" s="13" t="s">
        <v>74</v>
      </c>
      <c r="C16" s="13" t="s">
        <v>973</v>
      </c>
      <c r="D16" s="13" t="s">
        <v>971</v>
      </c>
      <c r="E16" s="13" t="s">
        <v>974</v>
      </c>
      <c r="F16" s="13" t="s">
        <v>975</v>
      </c>
      <c r="G16" s="13" t="s">
        <v>49</v>
      </c>
      <c r="H16" s="15"/>
      <c r="I16" s="15"/>
    </row>
    <row r="17" customFormat="false" ht="23.85" hidden="false" customHeight="false" outlineLevel="0" collapsed="false">
      <c r="A17" s="13" t="s">
        <v>315</v>
      </c>
      <c r="B17" s="13" t="s">
        <v>74</v>
      </c>
      <c r="C17" s="13" t="s">
        <v>976</v>
      </c>
      <c r="D17" s="13" t="s">
        <v>977</v>
      </c>
      <c r="E17" s="13" t="s">
        <v>978</v>
      </c>
      <c r="F17" s="13" t="s">
        <v>311</v>
      </c>
      <c r="G17" s="13" t="s">
        <v>49</v>
      </c>
      <c r="H17" s="15"/>
      <c r="I17" s="15"/>
    </row>
    <row r="18" customFormat="false" ht="23.85" hidden="false" customHeight="false" outlineLevel="0" collapsed="false">
      <c r="A18" s="13" t="s">
        <v>197</v>
      </c>
      <c r="B18" s="13" t="s">
        <v>74</v>
      </c>
      <c r="C18" s="13" t="s">
        <v>979</v>
      </c>
      <c r="D18" s="13" t="s">
        <v>980</v>
      </c>
      <c r="E18" s="13" t="s">
        <v>981</v>
      </c>
      <c r="F18" s="13" t="s">
        <v>193</v>
      </c>
      <c r="G18" s="13" t="s">
        <v>49</v>
      </c>
      <c r="H18" s="15"/>
      <c r="I18" s="15"/>
    </row>
    <row r="19" customFormat="false" ht="23.85" hidden="false" customHeight="false" outlineLevel="0" collapsed="false">
      <c r="A19" s="13" t="s">
        <v>267</v>
      </c>
      <c r="B19" s="13" t="s">
        <v>74</v>
      </c>
      <c r="C19" s="13" t="s">
        <v>982</v>
      </c>
      <c r="D19" s="13" t="s">
        <v>971</v>
      </c>
      <c r="E19" s="13" t="s">
        <v>950</v>
      </c>
      <c r="F19" s="13" t="s">
        <v>983</v>
      </c>
      <c r="G19" s="13" t="s">
        <v>49</v>
      </c>
      <c r="H19" s="15"/>
      <c r="I19" s="15"/>
    </row>
    <row r="20" customFormat="false" ht="23.85" hidden="false" customHeight="false" outlineLevel="0" collapsed="false">
      <c r="A20" s="13" t="s">
        <v>154</v>
      </c>
      <c r="B20" s="13" t="s">
        <v>67</v>
      </c>
      <c r="C20" s="13" t="s">
        <v>984</v>
      </c>
      <c r="D20" s="13" t="s">
        <v>985</v>
      </c>
      <c r="E20" s="13" t="s">
        <v>950</v>
      </c>
      <c r="F20" s="13" t="s">
        <v>986</v>
      </c>
      <c r="G20" s="13" t="s">
        <v>49</v>
      </c>
      <c r="H20" s="15"/>
      <c r="I20" s="15"/>
    </row>
    <row r="21" customFormat="false" ht="23.85" hidden="false" customHeight="false" outlineLevel="0" collapsed="false">
      <c r="A21" s="13" t="s">
        <v>257</v>
      </c>
      <c r="B21" s="13" t="s">
        <v>67</v>
      </c>
      <c r="C21" s="13" t="s">
        <v>987</v>
      </c>
      <c r="D21" s="13" t="s">
        <v>985</v>
      </c>
      <c r="E21" s="13" t="s">
        <v>950</v>
      </c>
      <c r="F21" s="13" t="s">
        <v>988</v>
      </c>
      <c r="G21" s="13" t="s">
        <v>49</v>
      </c>
      <c r="H21" s="15"/>
      <c r="I21" s="15"/>
    </row>
    <row r="22" customFormat="false" ht="23.85" hidden="false" customHeight="false" outlineLevel="0" collapsed="false">
      <c r="A22" s="13" t="s">
        <v>221</v>
      </c>
      <c r="B22" s="13" t="s">
        <v>67</v>
      </c>
      <c r="C22" s="13" t="s">
        <v>989</v>
      </c>
      <c r="D22" s="13" t="s">
        <v>985</v>
      </c>
      <c r="E22" s="13" t="s">
        <v>990</v>
      </c>
      <c r="F22" s="13" t="s">
        <v>991</v>
      </c>
      <c r="G22" s="13" t="s">
        <v>49</v>
      </c>
      <c r="H22" s="15"/>
      <c r="I22" s="15"/>
    </row>
    <row r="23" customFormat="false" ht="23.85" hidden="false" customHeight="false" outlineLevel="0" collapsed="false">
      <c r="A23" s="13" t="s">
        <v>148</v>
      </c>
      <c r="B23" s="13" t="s">
        <v>73</v>
      </c>
      <c r="C23" s="13" t="s">
        <v>992</v>
      </c>
      <c r="D23" s="13" t="s">
        <v>963</v>
      </c>
      <c r="E23" s="13" t="s">
        <v>990</v>
      </c>
      <c r="F23" s="13" t="s">
        <v>993</v>
      </c>
      <c r="G23" s="13" t="s">
        <v>49</v>
      </c>
      <c r="H23" s="15"/>
      <c r="I23" s="15"/>
    </row>
    <row r="24" customFormat="false" ht="23.85" hidden="false" customHeight="false" outlineLevel="0" collapsed="false">
      <c r="A24" s="13" t="s">
        <v>277</v>
      </c>
      <c r="B24" s="13" t="s">
        <v>74</v>
      </c>
      <c r="C24" s="13" t="s">
        <v>994</v>
      </c>
      <c r="D24" s="13" t="s">
        <v>985</v>
      </c>
      <c r="E24" s="13" t="s">
        <v>995</v>
      </c>
      <c r="F24" s="13" t="s">
        <v>996</v>
      </c>
      <c r="G24" s="13" t="s">
        <v>49</v>
      </c>
      <c r="H24" s="15"/>
      <c r="I24" s="15"/>
    </row>
    <row r="25" customFormat="false" ht="35.05" hidden="false" customHeight="false" outlineLevel="0" collapsed="false">
      <c r="A25" s="13" t="s">
        <v>997</v>
      </c>
      <c r="B25" s="13" t="s">
        <v>74</v>
      </c>
      <c r="C25" s="13" t="s">
        <v>998</v>
      </c>
      <c r="D25" s="13" t="s">
        <v>985</v>
      </c>
      <c r="E25" s="13" t="s">
        <v>939</v>
      </c>
      <c r="F25" s="13"/>
      <c r="G25" s="13" t="s">
        <v>49</v>
      </c>
      <c r="H25" s="15"/>
      <c r="I25" s="15"/>
    </row>
  </sheetData>
  <autoFilter ref="A1:I25"/>
  <dataValidations count="1">
    <dataValidation allowBlank="true" errorStyle="stop" operator="between" showDropDown="false" showErrorMessage="false" showInputMessage="false" sqref="G2:G25" type="list">
      <formula1>"Open,Proposed decision,Closed"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7" t="s">
        <v>999</v>
      </c>
      <c r="B1" s="7" t="s">
        <v>127</v>
      </c>
      <c r="C1" s="7" t="s">
        <v>935</v>
      </c>
      <c r="D1" s="7" t="s">
        <v>1000</v>
      </c>
    </row>
    <row r="2" customFormat="false" ht="15" hidden="false" customHeight="false" outlineLevel="0" collapsed="false">
      <c r="A2" s="13" t="s">
        <v>72</v>
      </c>
      <c r="B2" s="13" t="s">
        <v>1001</v>
      </c>
      <c r="C2" s="13" t="s">
        <v>1002</v>
      </c>
      <c r="D2" s="13" t="s">
        <v>1003</v>
      </c>
    </row>
    <row r="3" customFormat="false" ht="15" hidden="false" customHeight="false" outlineLevel="0" collapsed="false">
      <c r="A3" s="13" t="s">
        <v>73</v>
      </c>
      <c r="B3" s="13" t="s">
        <v>1004</v>
      </c>
      <c r="C3" s="13" t="s">
        <v>1005</v>
      </c>
      <c r="D3" s="13" t="s">
        <v>1006</v>
      </c>
    </row>
    <row r="4" customFormat="false" ht="15" hidden="false" customHeight="false" outlineLevel="0" collapsed="false">
      <c r="A4" s="13" t="s">
        <v>74</v>
      </c>
      <c r="B4" s="13" t="s">
        <v>1007</v>
      </c>
      <c r="C4" s="13" t="s">
        <v>1008</v>
      </c>
      <c r="D4" s="13" t="s">
        <v>1009</v>
      </c>
    </row>
    <row r="5" customFormat="false" ht="23.85" hidden="false" customHeight="false" outlineLevel="0" collapsed="false">
      <c r="A5" s="13" t="s">
        <v>61</v>
      </c>
      <c r="B5" s="13" t="s">
        <v>1010</v>
      </c>
      <c r="C5" s="13" t="s">
        <v>1008</v>
      </c>
      <c r="D5" s="13" t="s">
        <v>1011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2026-09-30T13:32:32Z</dcterms:created>
  <dc:creator>openpyxl</dc:creator>
  <dc:description/>
  <dc:language>en-US</dc:language>
  <cp:lastModifiedBy/>
  <dcterms:modified xsi:type="dcterms:W3CDTF">2026-09-30T13:32:32Z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