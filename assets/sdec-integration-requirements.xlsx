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Journeys" sheetId="3" state="visible" r:id="rId5"/>
    <sheet name="Requirements" sheetId="4" state="visible" r:id="rId6"/>
    <sheet name="API Catalogue" sheetId="5" state="visible" r:id="rId7"/>
    <sheet name="Security" sheetId="6" state="visible" r:id="rId8"/>
    <sheet name="Sample Payloads" sheetId="7" state="visible" r:id="rId9"/>
    <sheet name="Event Catalogue" sheetId="8" state="visible" r:id="rId10"/>
    <sheet name="Storage and States" sheetId="9" state="visible" r:id="rId11"/>
    <sheet name="Step Trace" sheetId="10" state="visible" r:id="rId12"/>
    <sheet name="Open Items" sheetId="11" state="visible" r:id="rId13"/>
    <sheet name="Sources" sheetId="12" state="visible" r:id="rId14"/>
  </sheets>
  <definedNames>
    <definedName function="false" hidden="true" localSheetId="4" name="_xlnm._FilterDatabase" vbProcedure="false">'API Catalogue'!$A$1:$L$16</definedName>
    <definedName function="false" hidden="true" localSheetId="7" name="_xlnm._FilterDatabase" vbProcedure="false">'Event Catalogue'!$A$1:$J$14</definedName>
    <definedName function="false" hidden="true" localSheetId="2" name="_xlnm._FilterDatabase" vbProcedure="false">Journeys!$A$1:$I$4</definedName>
    <definedName function="false" hidden="true" localSheetId="10" name="_xlnm._FilterDatabase" vbProcedure="false">'Open Items'!$A$1:$J$28</definedName>
    <definedName function="false" hidden="true" localSheetId="3" name="_xlnm._FilterDatabase" vbProcedure="false">Requirements!$A$1:$Q$57</definedName>
    <definedName function="false" hidden="true" localSheetId="6" name="_xlnm._FilterDatabase" vbProcedure="false">'Sample Payloads'!$A$1:$E$75</definedName>
    <definedName function="false" hidden="true" localSheetId="5" name="_xlnm._FilterDatabase" vbProcedure="false">Security!$A$1:$F$9</definedName>
    <definedName function="false" hidden="true" localSheetId="11" name="_xlnm._FilterDatabase" vbProcedure="false">Sources!$A$1:$D$5</definedName>
    <definedName function="false" hidden="true" localSheetId="9" name="_xlnm._FilterDatabase" vbProcedure="false">'Step Trace'!$A$1:$M$106</definedName>
    <definedName function="false" hidden="true" localSheetId="8" name="_xlnm._FilterDatabase" vbProcedure="false">'Storage and States'!$A$1:$E$13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<sst xmlns="http://schemas.openxmlformats.org/spreadsheetml/2006/main" count="3565" uniqueCount="1439">
  <si>
    <t xml:space="preserve">SDEC consolidated integration requirements</t>
  </si>
  <si>
    <t xml:space="preserve">Integration, MFT and events across Create Thread, External User Upload and External User Submission</t>
  </si>
  <si>
    <t xml:space="preserve">Version v0.2 (draft), 1 October 2026</t>
  </si>
  <si>
    <t xml:space="preserve">How to use</t>
  </si>
  <si>
    <t xml:space="preserve">1</t>
  </si>
  <si>
    <t xml:space="preserve">Start with Journeys for scope, then Requirements. Every requirement row cites the source steps it was derived from.</t>
  </si>
  <si>
    <t xml:space="preserve">2</t>
  </si>
  <si>
    <t xml:space="preserve">Filter Requirements by Category (Integration (API), MFT, Event, Non-functional, Security) or by Target system (NRS, eDMS, HIP, SDEC HCP, Communication Service).</t>
  </si>
  <si>
    <t xml:space="preserve">3</t>
  </si>
  <si>
    <t xml:space="preserve">Yellow cells (Owner, Comments on Requirements; Decision, Date on Open Items) are for you to fill in during review. Priority and Status have drop-down lists. Each requirement has acceptance criteria; each open item has a recommendation.</t>
  </si>
  <si>
    <t xml:space="preserve">4</t>
  </si>
  <si>
    <t xml:space="preserve">Step Trace lists every step from the three source designs with the requirement IDs that cover it. A step with no requirement ID is a user interface or front-end-only step.</t>
  </si>
  <si>
    <t xml:space="preserve">5</t>
  </si>
  <si>
    <t xml:space="preserve">Summary recalculates counts from the Requirements and Open Items sheets.</t>
  </si>
  <si>
    <t xml:space="preserve">Sheets</t>
  </si>
  <si>
    <t xml:space="preserve">Summary</t>
  </si>
  <si>
    <t xml:space="preserve">Counts of requirements by category and status, and open items by journey (formulas).</t>
  </si>
  <si>
    <t xml:space="preserve">Journeys</t>
  </si>
  <si>
    <t xml:space="preserve">The three journeys: actor, trigger, outcome, systems, HIP involvement and handoff.</t>
  </si>
  <si>
    <t xml:space="preserve">Requirements</t>
  </si>
  <si>
    <t xml:space="preserve">Consolidated integration, MFT, event and non-functional requirements (INT, MFT, EVT, NFR).</t>
  </si>
  <si>
    <t xml:space="preserve">API Catalogue</t>
  </si>
  <si>
    <t xml:space="preserve">Every endpoint in the three journeys, with consumer, provider and whether it routes through HIP.</t>
  </si>
  <si>
    <t xml:space="preserve">Event Catalogue</t>
  </si>
  <si>
    <t xml:space="preserve">Events and asynchronous commands: publisher, subscribers, channel, payload and state change.</t>
  </si>
  <si>
    <t xml:space="preserve">Storage and States</t>
  </si>
  <si>
    <t xml:space="preserve">Buckets, stores and tables, then the status values each journey sets.</t>
  </si>
  <si>
    <t xml:space="preserve">Step Trace</t>
  </si>
  <si>
    <t xml:space="preserve">All source steps (J1 Create Thread, J2 External User Document Upload, J3 External User Submission).</t>
  </si>
  <si>
    <t xml:space="preserve">Open Items</t>
  </si>
  <si>
    <t xml:space="preserve">Questions and decisions from the source notes and from architect review, each with an owner role.</t>
  </si>
  <si>
    <t xml:space="preserve">Security</t>
  </si>
  <si>
    <t xml:space="preserve">OAuth2 app-to-app authentication: client register, authentication per API, token validation rules and exceptions.</t>
  </si>
  <si>
    <t xml:space="preserve">Sample Payloads</t>
  </si>
  <si>
    <t xml:space="preserve">Sample request, response, error, event and token payloads for every API interaction, numbered to match the interaction diagrams.</t>
  </si>
  <si>
    <t xml:space="preserve">Sources</t>
  </si>
  <si>
    <t xml:space="preserve">The draft design pages this workbook consolidates.</t>
  </si>
  <si>
    <t xml:space="preserve">Solution design</t>
  </si>
  <si>
    <t xml:space="preserve">sdec-integration-solution-design.docx sets out the proposed solution, an API specification and interaction diagram per API, and the event, MFT and non-functional design.</t>
  </si>
  <si>
    <t xml:space="preserve">Conventions</t>
  </si>
  <si>
    <t xml:space="preserve">Journey codes</t>
  </si>
  <si>
    <t xml:space="preserve">J1 Create Thread; J2 External User Document Upload; J3 External User Submission (crystallisation). NRS and eDMS are legs inside J3; J1 step 45 reuses the eDMS leg.</t>
  </si>
  <si>
    <t xml:space="preserve">Origin</t>
  </si>
  <si>
    <t xml:space="preserve">'Source design' rows restate the draft designs. 'Architect proposal' rows are additions for review and are not yet agreed.</t>
  </si>
  <si>
    <t xml:space="preserve">HIP components</t>
  </si>
  <si>
    <t xml:space="preserve">API Management, Event Management and File Transfer Manager (MFT with AV Service and S3 landing, quarantine and clean staging buckets), as shown in the NRS integration detail.</t>
  </si>
  <si>
    <t xml:space="preserve">Internal user</t>
  </si>
  <si>
    <t xml:space="preserve">The thread owner inside the department (shown as the internal user in the source designs).</t>
  </si>
  <si>
    <t xml:space="preserve">Companion diagrams</t>
  </si>
  <si>
    <t xml:space="preserve">sdec-consolidated-journeys.drawio (journey view) and sdec-consolidated-interaction.drawio (sequence view of all three journeys), each with SVG / PNG copies.</t>
  </si>
  <si>
    <t xml:space="preserve">Requirements by category and status</t>
  </si>
  <si>
    <t xml:space="preserve">Category</t>
  </si>
  <si>
    <t xml:space="preserve">Draft</t>
  </si>
  <si>
    <t xml:space="preserve">Handoff (outside J1 design scope)</t>
  </si>
  <si>
    <t xml:space="preserve">Requirement on NRS</t>
  </si>
  <si>
    <t xml:space="preserve">Open</t>
  </si>
  <si>
    <t xml:space="preserve">To confirm</t>
  </si>
  <si>
    <t xml:space="preserve">Proposed</t>
  </si>
  <si>
    <t xml:space="preserve">Total</t>
  </si>
  <si>
    <t xml:space="preserve">Integration (API)</t>
  </si>
  <si>
    <t xml:space="preserve">MFT</t>
  </si>
  <si>
    <t xml:space="preserve">Event</t>
  </si>
  <si>
    <t xml:space="preserve">Non-functional</t>
  </si>
  <si>
    <t xml:space="preserve">Check: total equals number of requirement rows</t>
  </si>
  <si>
    <t xml:space="preserve">Requirements by target system (contains)</t>
  </si>
  <si>
    <t xml:space="preserve">Target system</t>
  </si>
  <si>
    <t xml:space="preserve">Must</t>
  </si>
  <si>
    <t xml:space="preserve">NRS</t>
  </si>
  <si>
    <t xml:space="preserve">eDMS</t>
  </si>
  <si>
    <t xml:space="preserve">HIP</t>
  </si>
  <si>
    <t xml:space="preserve">SDEC HCP</t>
  </si>
  <si>
    <t xml:space="preserve">SDEC</t>
  </si>
  <si>
    <t xml:space="preserve">Communication Service</t>
  </si>
  <si>
    <t xml:space="preserve">All</t>
  </si>
  <si>
    <t xml:space="preserve">SDEC and All count exact matches; other rows count any row whose target list contains the name.</t>
  </si>
  <si>
    <t xml:space="preserve">Open items by journey</t>
  </si>
  <si>
    <t xml:space="preserve">Journey</t>
  </si>
  <si>
    <t xml:space="preserve">All items</t>
  </si>
  <si>
    <t xml:space="preserve">J1</t>
  </si>
  <si>
    <t xml:space="preserve">J2</t>
  </si>
  <si>
    <t xml:space="preserve">J3</t>
  </si>
  <si>
    <t xml:space="preserve">Name</t>
  </si>
  <si>
    <t xml:space="preserve">Actor</t>
  </si>
  <si>
    <t xml:space="preserve">Trigger</t>
  </si>
  <si>
    <t xml:space="preserve">Outcome</t>
  </si>
  <si>
    <t xml:space="preserve">Systems</t>
  </si>
  <si>
    <t xml:space="preserve">HIP involvement</t>
  </si>
  <si>
    <t xml:space="preserve">Handoff</t>
  </si>
  <si>
    <t xml:space="preserve">Source</t>
  </si>
  <si>
    <t xml:space="preserve">Create Thread</t>
  </si>
  <si>
    <t xml:space="preserve">Internal user (thread owner)</t>
  </si>
  <si>
    <t xml:space="preserve">Internal user selects Create Thread in the workspace (already authenticated and authorised to create threads)</t>
  </si>
  <si>
    <t xml:space="preserve">Thread in pending status with technical and business reference; attachments passed to eDMS; recipient notified (proposed)</t>
  </si>
  <si>
    <t xml:space="preserve">Internal user browser, SDEC front end (internal, MDTP), SDEC Thread Manager (HCP), HIP File Transfer Manager, eDMS (Doxis)</t>
  </si>
  <si>
    <t xml:space="preserve">File upload per attachment (separate File Upload sequence, pattern TBC); eDMS transfer at step 45; thread confirmation event (proposed)</t>
  </si>
  <si>
    <t xml:space="preserve">Recipient (external user) is asked to provide documents: leads into J2</t>
  </si>
  <si>
    <t xml:space="preserve">External User Document Upload</t>
  </si>
  <si>
    <t xml:space="preserve">External user</t>
  </si>
  <si>
    <t xml:space="preserve">External user selects documents to upload against a thread interaction</t>
  </si>
  <si>
    <t xml:space="preserve">Documents clean-staged in HIP (or quarantined); session, interaction and document state updated; user notified</t>
  </si>
  <si>
    <t xml:space="preserve">External user browser, SDEC front end (external, MDTP), HIP File Transfer Manager with AV Service and S3 landing / quarantine / clean staging buckets, SDEC Thread Manager (HCP)</t>
  </si>
  <si>
    <t xml:space="preserve">File Transfer API, pre-signed URL generation, landing bucket, AV scan, quarantine, clean staging, upload outcome events</t>
  </si>
  <si>
    <t xml:space="preserve">Clean-staged documents are referenced by the submission: leads into J3</t>
  </si>
  <si>
    <t xml:space="preserve">External User Submission (crystallisation)</t>
  </si>
  <si>
    <t xml:space="preserve">External user; Internal user notified</t>
  </si>
  <si>
    <t xml:space="preserve">External user clicks submit on the interaction response</t>
  </si>
  <si>
    <t xml:space="preserve">Signed submission with attachments held by NRS (evidential) and ingested by eDMS; both users notified; staged files deleted</t>
  </si>
  <si>
    <t xml:space="preserve">SDEC front end (external and internal), SDEC Thread Manager, HIP API Management, Event Management and File Transfer Manager, NRS, eDMS, Communication Service, SMS Gateway</t>
  </si>
  <si>
    <t xml:space="preserve">NRS Submission and Attachment APIs via API Management; file transfer request queue; transfers to NRS and eDMS; transfer, acceptance and deletion events</t>
  </si>
  <si>
    <t xml:space="preserve">End of journey</t>
  </si>
  <si>
    <t xml:space="preserve">J3, NRS</t>
  </si>
  <si>
    <t xml:space="preserve">ID</t>
  </si>
  <si>
    <t xml:space="preserve">Title</t>
  </si>
  <si>
    <t xml:space="preserve">Requirement</t>
  </si>
  <si>
    <t xml:space="preserve">Source steps</t>
  </si>
  <si>
    <t xml:space="preserve">From</t>
  </si>
  <si>
    <t xml:space="preserve">To</t>
  </si>
  <si>
    <t xml:space="preserve">Pattern</t>
  </si>
  <si>
    <t xml:space="preserve">HIP component</t>
  </si>
  <si>
    <t xml:space="preserve">Priority</t>
  </si>
  <si>
    <t xml:space="preserve">Status</t>
  </si>
  <si>
    <t xml:space="preserve">Open items</t>
  </si>
  <si>
    <t xml:space="preserve">Acceptance criteria</t>
  </si>
  <si>
    <t xml:space="preserve">Owner</t>
  </si>
  <si>
    <t xml:space="preserve">Comments</t>
  </si>
  <si>
    <t xml:space="preserve">INT-01</t>
  </si>
  <si>
    <t xml:space="preserve">Create thread API</t>
  </si>
  <si>
    <t xml:space="preserve">SDEC front end (internal) shall call the Thread Service API (POST) to create a thread entity record once contact details are captured. Thread Manager shall generate the technical and business-facing thread references together and set the thread to Pending thread created. The business reference is returned only at the confirmation step, not in the create response.</t>
  </si>
  <si>
    <t xml:space="preserve">J1 steps 9, 10, 11, 12</t>
  </si>
  <si>
    <t xml:space="preserve">SDEC front end (internal)</t>
  </si>
  <si>
    <t xml:space="preserve">SDEC Thread Manager</t>
  </si>
  <si>
    <t xml:space="preserve">Sync REST</t>
  </si>
  <si>
    <t xml:space="preserve">TBC</t>
  </si>
  <si>
    <t xml:space="preserve">OI-01, OI-02, OI-06, OI-19</t>
  </si>
  <si>
    <t xml:space="preserve">Source design</t>
  </si>
  <si>
    <t xml:space="preserve">A valid create request returns 201 with a technical thread id and status PENDING within 2 seconds (p95); the business reference is stored but not returned; a repeated request with the same Idempotency-Key returns the original thread.</t>
  </si>
  <si>
    <t xml:space="preserve">INT-02</t>
  </si>
  <si>
    <t xml:space="preserve">Submit thread API</t>
  </si>
  <si>
    <t xml:space="preserve">SDEC front end (internal) shall submit the confirmed thread to Thread Manager via the Submission Service API (PUT). Thread Manager updates the thread and returns a submission response.</t>
  </si>
  <si>
    <t xml:space="preserve">J1 steps 40, 41, 42, 43, 44</t>
  </si>
  <si>
    <t xml:space="preserve">OI-05, OI-08, OI-19</t>
  </si>
  <si>
    <t xml:space="preserve">A submit request for a PENDING thread returns 200 with status SUBMITTED and the business reference; a thread in any other state returns 409; the eDMS transfer command (EVT-07) is issued exactly once per submission.</t>
  </si>
  <si>
    <t xml:space="preserve">INT-03</t>
  </si>
  <si>
    <t xml:space="preserve">Thread attachments to eDMS</t>
  </si>
  <si>
    <t xml:space="preserve">On thread submission, Thread Manager shall initiate transfer of the thread's attached files to eDMS, reusing the eDMS ingestion leg of the submission journey (EVT-07, MFT-10, EVT-08).</t>
  </si>
  <si>
    <t xml:space="preserve">J1 steps 45; J3 steps 25, 26, 29</t>
  </si>
  <si>
    <t xml:space="preserve">eDMS (Doxis)</t>
  </si>
  <si>
    <t xml:space="preserve">Async command + REST</t>
  </si>
  <si>
    <t xml:space="preserve">Event Management; File Transfer Manager</t>
  </si>
  <si>
    <t xml:space="preserve">OI-08</t>
  </si>
  <si>
    <t xml:space="preserve">Every file attached to a submitted thread reaches eDMS with thread id and document id in its metadata, and Thread Manager records the eDMS document reference per file.</t>
  </si>
  <si>
    <t xml:space="preserve">INT-04</t>
  </si>
  <si>
    <t xml:space="preserve">File upload request (consumer side)</t>
  </si>
  <si>
    <t xml:space="preserve">Front-end Service (external) shall request uploads through the HIP File Transfer API, passing document metadata and thread / interaction ids, and relay the returned pre-signed URLs to the browser. File content never passes through the front end.</t>
  </si>
  <si>
    <t xml:space="preserve">J2 steps 5, 7, 10</t>
  </si>
  <si>
    <t xml:space="preserve">SDEC front end (external)</t>
  </si>
  <si>
    <t xml:space="preserve">HIP File Transfer Manager</t>
  </si>
  <si>
    <t xml:space="preserve">File Transfer Manager (API Management TBC)</t>
  </si>
  <si>
    <t xml:space="preserve">OI-22</t>
  </si>
  <si>
    <t xml:space="preserve">The front end never receives or proxies file content; for every requested file it relays one pre-signed URL set and the file collection id to the browser.</t>
  </si>
  <si>
    <t xml:space="preserve">INT-05</t>
  </si>
  <si>
    <t xml:space="preserve">Submission initiation API</t>
  </si>
  <si>
    <t xml:space="preserve">Front-end Service (external) shall call Thread Manager POST /interaction/submissions with submission content and signed hash. Thread Manager records Submission requested and returns a synchronous acknowledgement only; NRS and eDMS processing continues asynchronously.</t>
  </si>
  <si>
    <t xml:space="preserve">J3 steps 6, 7, 8, 9</t>
  </si>
  <si>
    <t xml:space="preserve">Sync REST (ack only)</t>
  </si>
  <si>
    <t xml:space="preserve">OI-19</t>
  </si>
  <si>
    <t xml:space="preserve">Submission returns 202 Accepted with a submission id within 2 seconds (p95), before any NRS or eDMS call is made; repeated submissions with the same Idempotency-Key do not create a second submission.</t>
  </si>
  <si>
    <t xml:space="preserve">INT-06</t>
  </si>
  <si>
    <t xml:space="preserve">Submission content integrity</t>
  </si>
  <si>
    <t xml:space="preserve">The browser shall hash the web form content (SHA-256 TBC). Front-end Service (external) validates the hash and signs it if not already signed. The signed hash travels with the payload to NRS.</t>
  </si>
  <si>
    <t xml:space="preserve">J3 steps 2, 3, 4, 5, 11</t>
  </si>
  <si>
    <t xml:space="preserve">Browser / SDEC front end (external)</t>
  </si>
  <si>
    <t xml:space="preserve">Payload attribute</t>
  </si>
  <si>
    <t xml:space="preserve">API Management</t>
  </si>
  <si>
    <t xml:space="preserve">OI-14</t>
  </si>
  <si>
    <t xml:space="preserve">The hash algorithm and canonicalisation are documented; Front-end Service rejects a submission whose recomputed hash differs; NRS receives the signed hash unchanged.</t>
  </si>
  <si>
    <t xml:space="preserve">INT-07</t>
  </si>
  <si>
    <t xml:space="preserve">NRS Submission API via HIP</t>
  </si>
  <si>
    <t xml:space="preserve">Thread Manager shall call the NRS Submission API through HIP API Management with the signed interaction payload and attachment metadata / references. NRS persists the payload to transient storage and returns an NRS submission id, which Thread Manager stores.</t>
  </si>
  <si>
    <t xml:space="preserve">J3 steps 11, 12, 13, 14; Requirements for NRS 1</t>
  </si>
  <si>
    <t xml:space="preserve">OI-12, OI-13</t>
  </si>
  <si>
    <t xml:space="preserve">Thread Manager reaches the NRS Submission API only through HIP API Management; a successful call stores the NRS submission id against the interaction; transient failures are retried with the same idempotency key.</t>
  </si>
  <si>
    <t xml:space="preserve">INT-08</t>
  </si>
  <si>
    <t xml:space="preserve">NRS Attachment API via HIP</t>
  </si>
  <si>
    <t xml:space="preserve">Thread Manager shall call the NRS Attachment API through HIP API Management with the NRS submission id and document metadata. NRS generates and returns pre-signed upload URLs to Thread Manager.</t>
  </si>
  <si>
    <t xml:space="preserve">J3 steps 15, 16, 17; Requirements for NRS 1</t>
  </si>
  <si>
    <t xml:space="preserve">OI-15</t>
  </si>
  <si>
    <t xml:space="preserve">One pre-signed URL is returned per document with an expiry; Thread Manager passes the URLs to File Transfer Manager without altering them.</t>
  </si>
  <si>
    <t xml:space="preserve">INT-09</t>
  </si>
  <si>
    <t xml:space="preserve">NRS APIs published through iPaaS</t>
  </si>
  <si>
    <t xml:space="preserve">NRS shall publish its Submission and Attachment APIs via HIP (iPaaS) API Management.</t>
  </si>
  <si>
    <t xml:space="preserve">Requirements for NRS 1</t>
  </si>
  <si>
    <t xml:space="preserve">HIP API Management</t>
  </si>
  <si>
    <t xml:space="preserve">API publication</t>
  </si>
  <si>
    <t xml:space="preserve">OI-12</t>
  </si>
  <si>
    <t xml:space="preserve">Both NRS APIs are listed in the HIP API catalogue with OpenAPI contracts, security policy and environments (test, pre-production, production).</t>
  </si>
  <si>
    <t xml:space="preserve">INT-10</t>
  </si>
  <si>
    <t xml:space="preserve">NRS capacity for SDEC volumes</t>
  </si>
  <si>
    <t xml:space="preserve">NRS shall enhance its APIs, services and underlying infrastructure to support SDEC projected transaction and attachment (document) volumes and attachment sizes.</t>
  </si>
  <si>
    <t xml:space="preserve">Requirements for NRS 2</t>
  </si>
  <si>
    <t xml:space="preserve">Capacity</t>
  </si>
  <si>
    <t xml:space="preserve">API Management; File Transfer Manager</t>
  </si>
  <si>
    <t xml:space="preserve">OI-21, NFR-08</t>
  </si>
  <si>
    <t xml:space="preserve">NRS confirms in writing that its APIs and storage meet the SDEC volumetrics (NFR-08), including peak submissions per hour and maximum attachment size.</t>
  </si>
  <si>
    <t xml:space="preserve">INT-11</t>
  </si>
  <si>
    <t xml:space="preserve">eDMS upload document API</t>
  </si>
  <si>
    <t xml:space="preserve">eDMS shall expose an upload document API reachable from HIP File Transfer Manager, accepting documents, document metadata and transaction context, and returning success / failure and eDMS document references.</t>
  </si>
  <si>
    <t xml:space="preserve">J3 steps 26, 27, 28</t>
  </si>
  <si>
    <t xml:space="preserve">File Transfer Manager</t>
  </si>
  <si>
    <t xml:space="preserve">OI-13, OI-18</t>
  </si>
  <si>
    <t xml:space="preserve">eDMS returns a document reference for each successful upload and a structured error for each failure; the API is reachable from the HIP runtime in every environment.</t>
  </si>
  <si>
    <t xml:space="preserve">INT-12</t>
  </si>
  <si>
    <t xml:space="preserve">Notification request</t>
  </si>
  <si>
    <t xml:space="preserve">Thread Manager shall call the Communication Service ('Send notification', endpoint TBC) to trigger email / SMS to the external user and email to the internal user through the SMS Gateway. Response status handling is covered by the communication design.</t>
  </si>
  <si>
    <t xml:space="preserve">J3 steps 33, 37, 38</t>
  </si>
  <si>
    <t xml:space="preserve">OI-17</t>
  </si>
  <si>
    <t xml:space="preserve">One Send notification call triggers the email / SMS to the external user and the email to the internal user; Thread Manager receives a notification id; delivery failures are visible to support.</t>
  </si>
  <si>
    <t xml:space="preserve">INT-13</t>
  </si>
  <si>
    <t xml:space="preserve">Independent parallel NRS and eDMS legs</t>
  </si>
  <si>
    <t xml:space="preserve">NRS submission and eDMS ingestion shall run in parallel and independently. NRS transfer status does not depend on eDMS, and Submission Completed does not depend on NRS succeeding.</t>
  </si>
  <si>
    <t xml:space="preserve">J3 steps 11, 22, 25, 30</t>
  </si>
  <si>
    <t xml:space="preserve">NRS; eDMS</t>
  </si>
  <si>
    <t xml:space="preserve">Orchestration</t>
  </si>
  <si>
    <t xml:space="preserve">API Management; Event Management; File Transfer Manager</t>
  </si>
  <si>
    <t xml:space="preserve">Tests show Submission Completed set while NRS is unavailable, and NRS transfer completing while eDMS is unavailable; clean-up waits for both.</t>
  </si>
  <si>
    <t xml:space="preserve">INT-14</t>
  </si>
  <si>
    <t xml:space="preserve">End-to-end document identity</t>
  </si>
  <si>
    <t xml:space="preserve">Document identifiers shall be consistent from upload (J2) through NRS and eDMS, or the submission id shall be confirmed as the correlation key.</t>
  </si>
  <si>
    <t xml:space="preserve">J3 steps 11, 26; J2 steps 9</t>
  </si>
  <si>
    <t xml:space="preserve">Data contract</t>
  </si>
  <si>
    <t xml:space="preserve">All HIP components</t>
  </si>
  <si>
    <t xml:space="preserve">OI-13</t>
  </si>
  <si>
    <t xml:space="preserve">One document id, issued at upload, appears in SDEC_Document, NRS attachment metadata and eDMS document metadata for the same file.</t>
  </si>
  <si>
    <t xml:space="preserve">MFT-01</t>
  </si>
  <si>
    <t xml:space="preserve">File Transfer API (provider)</t>
  </si>
  <si>
    <t xml:space="preserve">HIP File Transfer Manager shall expose POST /file_uploads accepting document metadata (file names, types, sizes) and thread / interaction ids, and return a file collection id and pre-signed URLs.</t>
  </si>
  <si>
    <t xml:space="preserve">J2 steps 5, 7</t>
  </si>
  <si>
    <t xml:space="preserve">POST /file_uploads returns 201 with a file collection id and one upload specification per file; invalid metadata returns 400, oversize 413, unsupported type 415.</t>
  </si>
  <si>
    <t xml:space="preserve">MFT-02</t>
  </si>
  <si>
    <t xml:space="preserve">Upload strategy and pre-signed URLs</t>
  </si>
  <si>
    <t xml:space="preserve">File Transfer Manager shall select single or multi-part upload per file from its size and generate time-limited pre-signed URLs scoped to the landing bucket.</t>
  </si>
  <si>
    <t xml:space="preserve">J2 steps 6</t>
  </si>
  <si>
    <t xml:space="preserve">Internal</t>
  </si>
  <si>
    <t xml:space="preserve">OI-21</t>
  </si>
  <si>
    <t xml:space="preserve">Files above the multi-part threshold receive part URLs; every URL is scoped to one object key and expires at the configured time.</t>
  </si>
  <si>
    <t xml:space="preserve">MFT-03</t>
  </si>
  <si>
    <t xml:space="preserve">Landing bucket for direct upload</t>
  </si>
  <si>
    <t xml:space="preserve">Browsers shall upload directly to a HIP landing bucket (AWS S3) using the pre-signed URLs.</t>
  </si>
  <si>
    <t xml:space="preserve">J2 steps 11</t>
  </si>
  <si>
    <t xml:space="preserve">External user browser</t>
  </si>
  <si>
    <t xml:space="preserve">HIP landing bucket</t>
  </si>
  <si>
    <t xml:space="preserve">File transfer</t>
  </si>
  <si>
    <t xml:space="preserve">Uploaded objects land only in the landing bucket; the bucket blocks public access and accepts writes only through valid pre-signed URLs.</t>
  </si>
  <si>
    <t xml:space="preserve">MFT-04</t>
  </si>
  <si>
    <t xml:space="preserve">AV scan and validation</t>
  </si>
  <si>
    <t xml:space="preserve">File Transfer Manager shall scan and validate every uploaded file through the AV Service before it can be used downstream.</t>
  </si>
  <si>
    <t xml:space="preserve">J2 steps 12</t>
  </si>
  <si>
    <t xml:space="preserve">AV Service</t>
  </si>
  <si>
    <t xml:space="preserve">No object leaves the landing bucket without a recorded AV verdict; scan errors are retried and then treated as failures, never as clean.</t>
  </si>
  <si>
    <t xml:space="preserve">MFT-05</t>
  </si>
  <si>
    <t xml:space="preserve">Quarantine</t>
  </si>
  <si>
    <t xml:space="preserve">Files failing AV or validation shall be moved to a quarantine bucket (AWS S3) and never released downstream.</t>
  </si>
  <si>
    <t xml:space="preserve">J2 steps 13</t>
  </si>
  <si>
    <t xml:space="preserve">Quarantine bucket</t>
  </si>
  <si>
    <t xml:space="preserve">NFR-07</t>
  </si>
  <si>
    <t xml:space="preserve">Infected or invalid objects are in the quarantine bucket with the verdict recorded, and no transfer command can reference them.</t>
  </si>
  <si>
    <t xml:space="preserve">MFT-06</t>
  </si>
  <si>
    <t xml:space="preserve">Clean staging</t>
  </si>
  <si>
    <t xml:space="preserve">Clean, valid files shall be moved to a clean staging bucket (AWS S3), which is the only source for onward transfers to NRS and eDMS.</t>
  </si>
  <si>
    <t xml:space="preserve">J2 steps 18; J3 steps 19, 26</t>
  </si>
  <si>
    <t xml:space="preserve">Clean staging bucket</t>
  </si>
  <si>
    <t xml:space="preserve">Clean objects are in the clean staging bucket and are the only objects File Transfer Manager reads for NRS and eDMS transfers.</t>
  </si>
  <si>
    <t xml:space="preserve">MFT-07</t>
  </si>
  <si>
    <t xml:space="preserve">Upload outcome events</t>
  </si>
  <si>
    <t xml:space="preserve">File Transfer Manager shall publish file_upload_succeeded or file_upload_failed (with error details) for each file collection, consumed by Front-end Service (external) and Thread Manager.</t>
  </si>
  <si>
    <t xml:space="preserve">J2 steps 14, 19</t>
  </si>
  <si>
    <t xml:space="preserve">SDEC front end (external); Thread Manager</t>
  </si>
  <si>
    <t xml:space="preserve">Event Management</t>
  </si>
  <si>
    <t xml:space="preserve">OI-10</t>
  </si>
  <si>
    <t xml:space="preserve">Exactly one outcome event per file collection (or per file, as agreed in the contract) is published within 60 seconds of the scan verdict.</t>
  </si>
  <si>
    <t xml:space="preserve">MFT-08</t>
  </si>
  <si>
    <t xml:space="preserve">File transfer request queue</t>
  </si>
  <si>
    <t xml:space="preserve">File Transfer Manager shall consume asynchronous commands from Thread Manager on a file transfer request queue: transfer to NRS, transfer to eDMS and delete staged files. Each command carries the file collection reference, target identifier(s) and transaction context.</t>
  </si>
  <si>
    <t xml:space="preserve">J3 steps 18, 25, 39</t>
  </si>
  <si>
    <t xml:space="preserve">Async command</t>
  </si>
  <si>
    <t xml:space="preserve">OI-20</t>
  </si>
  <si>
    <t xml:space="preserve">Commands are consumed from the request queue, processed idempotently by command id, and moved to a dead-letter queue after the retry limit.</t>
  </si>
  <si>
    <t xml:space="preserve">MFT-09</t>
  </si>
  <si>
    <t xml:space="preserve">Transfer to NRS transient storage</t>
  </si>
  <si>
    <t xml:space="preserve">File Transfer Manager shall upload clean-staged files to NRS transient storage using the NRS-issued pre-signed URLs supplied in the command.</t>
  </si>
  <si>
    <t xml:space="preserve">J3 steps 19, 20</t>
  </si>
  <si>
    <t xml:space="preserve">NRS transient storage</t>
  </si>
  <si>
    <t xml:space="preserve">Every document in the command is uploaded to NRS using the URL supplied; an expired URL produces a failure outcome with reason URL_EXPIRED.</t>
  </si>
  <si>
    <t xml:space="preserve">MFT-10</t>
  </si>
  <si>
    <t xml:space="preserve">Transfer to eDMS</t>
  </si>
  <si>
    <t xml:space="preserve">File Transfer Manager shall send clean-staged files with document metadata and transaction context to the eDMS upload document API and handle the synchronous success / failure response.</t>
  </si>
  <si>
    <t xml:space="preserve">J3 steps 26, 28; J1 steps 45</t>
  </si>
  <si>
    <t xml:space="preserve">OI-18</t>
  </si>
  <si>
    <t xml:space="preserve">Every document in the command is sent to eDMS with metadata and transaction context; the eDMS reference or error is captured per document.</t>
  </si>
  <si>
    <t xml:space="preserve">MFT-11</t>
  </si>
  <si>
    <t xml:space="preserve">Transfer outcome events</t>
  </si>
  <si>
    <t xml:space="preserve">File Transfer Manager shall publish a transfer outcome event per target (NRS, eDMS) to Thread Manager: file_transfer_succeeded, and a failure outcome whose name and payload are to be agreed.</t>
  </si>
  <si>
    <t xml:space="preserve">J3 steps 21, 29</t>
  </si>
  <si>
    <t xml:space="preserve">A success or failure outcome event is published for every transfer command, with target, document ids and, for failures, a reason and retryable flag.</t>
  </si>
  <si>
    <t xml:space="preserve">MFT-12</t>
  </si>
  <si>
    <t xml:space="preserve">Staged file deletion</t>
  </si>
  <si>
    <t xml:space="preserve">File Transfer Manager shall delete staged files for a file collection on a delete_staged_files command and publish file_deletion_succeeded.</t>
  </si>
  <si>
    <t xml:space="preserve">J3 steps 39, 40, 41</t>
  </si>
  <si>
    <t xml:space="preserve">Async command + event</t>
  </si>
  <si>
    <t xml:space="preserve">OI-23</t>
  </si>
  <si>
    <t xml:space="preserve">On delete_staged_files all objects in the file collection are removed from clean staging and file_deletion_succeeded is published; deleting an already deleted collection is a no-op.</t>
  </si>
  <si>
    <t xml:space="preserve">MFT-13</t>
  </si>
  <si>
    <t xml:space="preserve">File collection correlation</t>
  </si>
  <si>
    <t xml:space="preserve">The file collection id issued at upload shall be the MFT correlation key for upload, transfer and deletion across J2 and J3.</t>
  </si>
  <si>
    <t xml:space="preserve">J2 steps 7; J3 steps 18, 25, 39, 41</t>
  </si>
  <si>
    <t xml:space="preserve">All consumers</t>
  </si>
  <si>
    <t xml:space="preserve">The file collection id is present in every MFT API response, command, event and log entry for that collection.</t>
  </si>
  <si>
    <t xml:space="preserve">MFT-14</t>
  </si>
  <si>
    <t xml:space="preserve">Internal user file upload (Create Thread)</t>
  </si>
  <si>
    <t xml:space="preserve">Files attached by the internal user when creating a thread shall be uploaded through the separate File Upload sequence and stored in S3. Assumed to reuse MFT-01 to MFT-07; to be confirmed.</t>
  </si>
  <si>
    <t xml:space="preserve">J1 steps Loop, 23</t>
  </si>
  <si>
    <t xml:space="preserve">Internal user browser</t>
  </si>
  <si>
    <t xml:space="preserve">OI-04</t>
  </si>
  <si>
    <t xml:space="preserve">Files attached in Create Thread follow the same upload, scan and staging path and produce the same events as Journey 2.</t>
  </si>
  <si>
    <t xml:space="preserve">EVT-01</t>
  </si>
  <si>
    <t xml:space="preserve">document_upload_requested</t>
  </si>
  <si>
    <t xml:space="preserve">Front-end Service (external) shall publish document_upload_requested after receiving pre-signed URLs. Thread Manager subscribes, updates the thread interaction status and creates SDEC Document records.</t>
  </si>
  <si>
    <t xml:space="preserve">J2 steps 8, 9</t>
  </si>
  <si>
    <t xml:space="preserve">Event Management (TBC)</t>
  </si>
  <si>
    <t xml:space="preserve">Thread Manager creates one SDEC Document record per file on receipt; duplicate delivery does not create duplicates.</t>
  </si>
  <si>
    <t xml:space="preserve">EVT-02</t>
  </si>
  <si>
    <t xml:space="preserve">file_upload_failed</t>
  </si>
  <si>
    <t xml:space="preserve">File Transfer Manager shall publish file_upload_failed with document references and error details. Front-end Service (external) updates session state and notifies the user; Thread Manager records Document upload failed.</t>
  </si>
  <si>
    <t xml:space="preserve">J2 steps 14, 15, 16, 17</t>
  </si>
  <si>
    <t xml:space="preserve">Front end shows the failure to the user and Thread Manager records Document upload failed with error details for each affected document.</t>
  </si>
  <si>
    <t xml:space="preserve">EVT-03</t>
  </si>
  <si>
    <t xml:space="preserve">file_upload_succeeded</t>
  </si>
  <si>
    <t xml:space="preserve">File Transfer Manager shall publish file_upload_succeeded with document references. Front-end Service (external) updates session state and notifies the user; Thread Manager records Document upload succeeded.</t>
  </si>
  <si>
    <t xml:space="preserve">J2 steps 19, 20, 21, 22</t>
  </si>
  <si>
    <t xml:space="preserve">Front end shows success and Thread Manager records Document upload succeeded with document references.</t>
  </si>
  <si>
    <t xml:space="preserve">EVT-04</t>
  </si>
  <si>
    <t xml:space="preserve">request_file_transfer (target NRS)</t>
  </si>
  <si>
    <t xml:space="preserve">Thread Manager shall send an asynchronous Request File Transfer command for NRS with pre-signed URLs, file collection reference, target identifier(s) and transaction context.</t>
  </si>
  <si>
    <t xml:space="preserve">J3 steps 18</t>
  </si>
  <si>
    <t xml:space="preserve">OI-15, OI-20</t>
  </si>
  <si>
    <t xml:space="preserve">The command carries pre-signed URLs, file collection reference, target identifiers and transaction context, and validates against its AsyncAPI schema.</t>
  </si>
  <si>
    <t xml:space="preserve">EVT-05</t>
  </si>
  <si>
    <t xml:space="preserve">file_transfer_succeeded (NRS)</t>
  </si>
  <si>
    <t xml:space="preserve">Thread Manager shall consume file_transfer_succeeded for the NRS target and record documents transferred to NRS, independent of eDMS status.</t>
  </si>
  <si>
    <t xml:space="preserve">J3 steps 21, 22</t>
  </si>
  <si>
    <t xml:space="preserve">Thread Manager records documents transferred to NRS without waiting for, or changing, eDMS state.</t>
  </si>
  <si>
    <t xml:space="preserve">EVT-06</t>
  </si>
  <si>
    <t xml:space="preserve">attachments_accepted (NRS)</t>
  </si>
  <si>
    <t xml:space="preserve">NRS shall notify SDEC asynchronously when a submission and its attachments are accepted (attachments_accepted via HIP Event Management). SDEC prefers an event; the NRS team has suggested polling.</t>
  </si>
  <si>
    <t xml:space="preserve">J3 steps A.1, A.2, 23, 24; Requirements for NRS 3</t>
  </si>
  <si>
    <t xml:space="preserve">OI-16</t>
  </si>
  <si>
    <t xml:space="preserve">Thread Manager receives an acceptance notification for every NRS submission (event, or polling adapter if OI-16 decides so) and records NRS documents accepted.</t>
  </si>
  <si>
    <t xml:space="preserve">EVT-07</t>
  </si>
  <si>
    <t xml:space="preserve">request_file_transfer (target eDMS)</t>
  </si>
  <si>
    <t xml:space="preserve">Thread Manager shall send an asynchronous Request File Transfer command for eDMS with file collection reference, target identifier(s) and transaction context.</t>
  </si>
  <si>
    <t xml:space="preserve">J3 steps 25; J1 steps 45</t>
  </si>
  <si>
    <t xml:space="preserve">The command carries file collection reference, target identifiers and transaction context and validates against its schema.</t>
  </si>
  <si>
    <t xml:space="preserve">EVT-08</t>
  </si>
  <si>
    <t xml:space="preserve">file_transfer_succeeded (eDMS)</t>
  </si>
  <si>
    <t xml:space="preserve">Thread Manager shall consume file_transfer_succeeded for eDMS, with eDMS document references, and set Submission Completed (not dependent on NRS).</t>
  </si>
  <si>
    <t xml:space="preserve">J3 steps 29, 30</t>
  </si>
  <si>
    <t xml:space="preserve">Thread Manager records Submission completed and the eDMS document references on receipt.</t>
  </si>
  <si>
    <t xml:space="preserve">EVT-09</t>
  </si>
  <si>
    <t xml:space="preserve">submission_completed</t>
  </si>
  <si>
    <t xml:space="preserve">Thread Manager shall publish submission_completed (interaction status submitted). Front-end Service (external) notifies the external user; Front-end Service (internal) notifies the internal user.</t>
  </si>
  <si>
    <t xml:space="preserve">J3 steps 31, 32, 34, 35, 36</t>
  </si>
  <si>
    <t xml:space="preserve">SDEC front end (external and internal)</t>
  </si>
  <si>
    <t xml:space="preserve">Both front ends receive submission_completed and notify their users; duplicates do not produce duplicate notifications.</t>
  </si>
  <si>
    <t xml:space="preserve">EVT-10</t>
  </si>
  <si>
    <t xml:space="preserve">delete_staged_files</t>
  </si>
  <si>
    <t xml:space="preserve">Thread Manager shall send delete_staged_files only after both eDMS ingestion (EVT-08) and NRS acceptance (EVT-06) are confirmed.</t>
  </si>
  <si>
    <t xml:space="preserve">J3 steps 39</t>
  </si>
  <si>
    <t xml:space="preserve">delete_staged_files is sent only when both eDMS ingestion and NRS acceptance are recorded; tests cover each arrival order.</t>
  </si>
  <si>
    <t xml:space="preserve">EVT-11</t>
  </si>
  <si>
    <t xml:space="preserve">file_deletion_succeeded</t>
  </si>
  <si>
    <t xml:space="preserve">File Transfer Manager shall publish file_deletion_succeeded (file collection id). Thread Manager updates document statuses to staged files deleted.</t>
  </si>
  <si>
    <t xml:space="preserve">J3 steps 41, 42</t>
  </si>
  <si>
    <t xml:space="preserve">Thread Manager records staged files deleted for every document in the collection.</t>
  </si>
  <si>
    <t xml:space="preserve">EVT-12</t>
  </si>
  <si>
    <t xml:space="preserve">thread_confirmed (proposed)</t>
  </si>
  <si>
    <t xml:space="preserve">An event for thread confirmation shall be added that calls the search service in iPaaS, the email service and the internal outlook service, so the recipient is told a thread is awaiting them.</t>
  </si>
  <si>
    <t xml:space="preserve">J1 design note (confirmation)</t>
  </si>
  <si>
    <t xml:space="preserve">Search service; email service; outlook service</t>
  </si>
  <si>
    <t xml:space="preserve">Should</t>
  </si>
  <si>
    <t xml:space="preserve">OI-09</t>
  </si>
  <si>
    <t xml:space="preserve">The recipient receives a notification after thread confirmation, and the event contract is agreed with the search, email and outlook service owners.</t>
  </si>
  <si>
    <t xml:space="preserve">EVT-13</t>
  </si>
  <si>
    <t xml:space="preserve">Failure outcomes for transfer and deletion</t>
  </si>
  <si>
    <t xml:space="preserve">Failure outcomes shall be defined for NRS transfer, eDMS transfer and staged file deletion (for example file_transfer_failed, file_deletion_failed), with Thread Manager state handling.</t>
  </si>
  <si>
    <t xml:space="preserve">J3 steps 21, 29, 41</t>
  </si>
  <si>
    <t xml:space="preserve">NRS; eDMS; HIP</t>
  </si>
  <si>
    <t xml:space="preserve">Architect proposal</t>
  </si>
  <si>
    <t xml:space="preserve">Failure outcome events exist for NRS transfer, eDMS transfer and deletion, each driving a defined Thread Manager state and an operational alert.</t>
  </si>
  <si>
    <t xml:space="preserve">NFR-01</t>
  </si>
  <si>
    <t xml:space="preserve">Correlation identifiers</t>
  </si>
  <si>
    <t xml:space="preserve">Thread id, interaction id, file collection id, NRS submission id and eDMS document references shall be propagated in every API header and event envelope and logged by HIP.</t>
  </si>
  <si>
    <t xml:space="preserve">J2 steps 7; J3 steps 13, 29</t>
  </si>
  <si>
    <t xml:space="preserve">Cross-cutting</t>
  </si>
  <si>
    <t xml:space="preserve">OI-07, OI-13</t>
  </si>
  <si>
    <t xml:space="preserve">A single correlation id retrieves every log entry, API call and event for one submission across MDTP, HCP and HIP.</t>
  </si>
  <si>
    <t xml:space="preserve">NFR-02</t>
  </si>
  <si>
    <t xml:space="preserve">Contracts</t>
  </si>
  <si>
    <t xml:space="preserve">Every API shall have an OpenAPI contract and every event or command an AsyncAPI contract, versioned and owned, covering the attributes passed at each step.</t>
  </si>
  <si>
    <t xml:space="preserve">J1 design note (attributes)</t>
  </si>
  <si>
    <t xml:space="preserve">API Management; Event Management</t>
  </si>
  <si>
    <t xml:space="preserve">OI-07</t>
  </si>
  <si>
    <t xml:space="preserve">Every API and event in this document has a versioned OpenAPI or AsyncAPI contract in the HIP catalogue before build starts.</t>
  </si>
  <si>
    <t xml:space="preserve">NFR-03</t>
  </si>
  <si>
    <t xml:space="preserve">Delivery semantics</t>
  </si>
  <si>
    <t xml:space="preserve">Events and commands shall be delivered at least once. Consumers (Thread Manager, front ends, File Transfer Manager) shall be idempotent on event id, with retry policy and dead-letter handling per queue.</t>
  </si>
  <si>
    <t xml:space="preserve">J2 steps 8; J3 steps 18, 25, 39</t>
  </si>
  <si>
    <t xml:space="preserve">Duplicate delivery tests on each consumer show no duplicate side effects; each queue has a dead-letter queue with alerting.</t>
  </si>
  <si>
    <t xml:space="preserve">NFR-04</t>
  </si>
  <si>
    <t xml:space="preserve">Service authentication and URL security</t>
  </si>
  <si>
    <t xml:space="preserve">Service-to-service authentication across MDTP, HCP, HIP, NRS and eDMS shall use OAuth2 app-to-app tokens as set out in SEC-01 to SEC-07, aligned with the external auth documentation. Pre-signed URLs shall be time-limited and scoped to one object.</t>
  </si>
  <si>
    <t xml:space="preserve">J1 steps 8, 9; J2 steps 6; J3 steps 16</t>
  </si>
  <si>
    <t xml:space="preserve">OI-02</t>
  </si>
  <si>
    <t xml:space="preserve">All service calls use authenticated, encrypted channels; pre-signed URLs expire within the agreed time and cannot be reused for another object.</t>
  </si>
  <si>
    <t xml:space="preserve">NFR-05</t>
  </si>
  <si>
    <t xml:space="preserve">Observability and audit</t>
  </si>
  <si>
    <t xml:space="preserve">Every state transition listed on the Storage and States sheet shall be traceable end to end from a single correlation id.</t>
  </si>
  <si>
    <t xml:space="preserve">J3 steps 7, 30, 42</t>
  </si>
  <si>
    <t xml:space="preserve">Dashboards show each submission's current state and history; alerts fire on failed transfers, dead-letter messages and staged files older than the agreed age.</t>
  </si>
  <si>
    <t xml:space="preserve">NFR-06</t>
  </si>
  <si>
    <t xml:space="preserve">File count and size limits</t>
  </si>
  <si>
    <t xml:space="preserve">File count and size limits validated by the front end (J1 step 23) shall match MFT limits, including the AV scan ceiling (tracked gap G-15, about 250 MB) and the multi-part threshold.</t>
  </si>
  <si>
    <t xml:space="preserve">J1 steps 23; J2 steps 6, 12</t>
  </si>
  <si>
    <t xml:space="preserve">SDEC front end</t>
  </si>
  <si>
    <t xml:space="preserve">Front end, File Transfer API and AV limits are configured from one agreed set of values and tested at the boundary.</t>
  </si>
  <si>
    <t xml:space="preserve">Retention and orphan clean-up</t>
  </si>
  <si>
    <t xml:space="preserve">Retention rules shall cover orphaned threads (user leaves mid-journey), quarantined files, and staged files where a leg never completes.</t>
  </si>
  <si>
    <t xml:space="preserve">J1 design note (orphan); J2 steps 13; J3 steps 39</t>
  </si>
  <si>
    <t xml:space="preserve">OI-03, OI-23</t>
  </si>
  <si>
    <t xml:space="preserve">Scheduled clean-up removes orphaned threads, expired quarantine objects and expired staging objects, each with an audit record.</t>
  </si>
  <si>
    <t xml:space="preserve">NFR-08</t>
  </si>
  <si>
    <t xml:space="preserve">Volumetrics</t>
  </si>
  <si>
    <t xml:space="preserve">SDEC shall publish projected transaction and attachment volumes and sizes for sizing of HIP, NRS and eDMS.</t>
  </si>
  <si>
    <t xml:space="preserve">HIP; NRS; eDMS</t>
  </si>
  <si>
    <t xml:space="preserve">Volumetrics are published and signed off by SDEC, HIP, NRS and eDMS owners before performance testing.</t>
  </si>
  <si>
    <t xml:space="preserve">SEC-01</t>
  </si>
  <si>
    <t xml:space="preserve">OAuth2 for every app-to-app call</t>
  </si>
  <si>
    <t xml:space="preserve">Every application-to-application API call (front ends to HIP, Thread Manager to HIP, HIP to NRS, eDMS and Communication Service) shall be authenticated with an OAuth2 access token obtained with the client credentials grant. No API shall accept basic authentication, API keys alone or anonymous calls.</t>
  </si>
  <si>
    <t xml:space="preserve">Stakeholder requirement: OAuth2 app-to-app; J1 steps 8, 9</t>
  </si>
  <si>
    <t xml:space="preserve">All calling applications</t>
  </si>
  <si>
    <t xml:space="preserve">All providing APIs</t>
  </si>
  <si>
    <t xml:space="preserve">OI-02, OI-27</t>
  </si>
  <si>
    <t xml:space="preserve">Stakeholder requirement</t>
  </si>
  <si>
    <t xml:space="preserve">Security tests show every app-to-app API rejects calls without a token (401) and accepts only tokens from the agreed authorisation server; no API key or basic auth path exists.</t>
  </si>
  <si>
    <t xml:space="preserve">SEC-02</t>
  </si>
  <si>
    <t xml:space="preserve">Registered clients and least-privilege scopes</t>
  </si>
  <si>
    <t xml:space="preserve">Each calling application shall be registered as its own OAuth2 client and granted only the scopes for the APIs it calls (see the OAuth2 clients table). Scopes are checked per API operation.</t>
  </si>
  <si>
    <t xml:space="preserve">Stakeholder requirement: OAuth2 app-to-app</t>
  </si>
  <si>
    <t xml:space="preserve">Authorisation server</t>
  </si>
  <si>
    <t xml:space="preserve">OI-27</t>
  </si>
  <si>
    <t xml:space="preserve">The client register lists one client per calling application with its scopes; a call with a valid token but a scope not granted to that client returns 403.</t>
  </si>
  <si>
    <t xml:space="preserve">SEC-03</t>
  </si>
  <si>
    <t xml:space="preserve">Token validation at the gateway</t>
  </si>
  <si>
    <t xml:space="preserve">HIP API Management shall validate every bearer token before routing: signature against the published JWKS, issuer, audience, expiry, not-before and required scope. Missing or invalid tokens return 401; a valid token without the scope returns 403.</t>
  </si>
  <si>
    <t xml:space="preserve">Gateway tests cover bad signature, wrong issuer, wrong audience, expired token and missing scope, each returning the expected 401 or 403 with a problem details body.</t>
  </si>
  <si>
    <t xml:space="preserve">SEC-04</t>
  </si>
  <si>
    <t xml:space="preserve">Short-lived tokens and client credential protection</t>
  </si>
  <si>
    <t xml:space="preserve">Access tokens shall be short-lived (15 minutes proposed) and cached by clients until shortly before expiry. Clients authenticate to the token endpoint with a signed client assertion (private_key_jwt) or mTLS rather than a shared secret; keys and secrets live in the enterprise secrets store and are rotated.</t>
  </si>
  <si>
    <t xml:space="preserve">OI-26, OI-27</t>
  </si>
  <si>
    <t xml:space="preserve">Tokens expire within the agreed lifetime; no client secret appears in code or configuration files; key rotation is tested without outage.</t>
  </si>
  <si>
    <t xml:space="preserve">SEC-05</t>
  </si>
  <si>
    <t xml:space="preserve">No token pass-through to back ends</t>
  </si>
  <si>
    <t xml:space="preserve">HIP shall not forward a consumer's token to a back end. When HIP calls NRS, eDMS, the Communication Service or Thread Manager it uses its own client and a token issued for that back end's audience. User context, where needed, travels as a separate signed claim, not as the app token.</t>
  </si>
  <si>
    <t xml:space="preserve">Stakeholder requirement: OAuth2 app-to-app; J3 steps 11, 26</t>
  </si>
  <si>
    <t xml:space="preserve">HIP API Management; File Transfer Manager</t>
  </si>
  <si>
    <t xml:space="preserve">NRS; eDMS; Communication Service; Thread Manager</t>
  </si>
  <si>
    <t xml:space="preserve">NRS; eDMS; Communication Service</t>
  </si>
  <si>
    <t xml:space="preserve">Back-end logs show HIP's client id, not the consumer's, on every call from HIP; a consumer token presented directly to a back end is rejected.</t>
  </si>
  <si>
    <t xml:space="preserve">SEC-06</t>
  </si>
  <si>
    <t xml:space="preserve">OAuth2 for event and command clients</t>
  </si>
  <si>
    <t xml:space="preserve">Publishers and subscribers on HIP Event Management (front ends, Thread Manager, File Transfer Manager, NRS) shall authenticate with OAuth2 client credentials, or the broker's equivalent where OAuth2 is not supported, with authorisation per topic and queue.</t>
  </si>
  <si>
    <t xml:space="preserve">Stakeholder requirement: OAuth2 app-to-app; J2 steps 8; J3 steps 18, A.1</t>
  </si>
  <si>
    <t xml:space="preserve">Event publishers and subscribers</t>
  </si>
  <si>
    <t xml:space="preserve">HIP Event Management</t>
  </si>
  <si>
    <t xml:space="preserve">OI-20, OI-26</t>
  </si>
  <si>
    <t xml:space="preserve">Unauthenticated publish or subscribe attempts are rejected; each client can reach only its own topics and queues.</t>
  </si>
  <si>
    <t xml:space="preserve">SEC-07</t>
  </si>
  <si>
    <t xml:space="preserve">Documented exceptions to OAuth2</t>
  </si>
  <si>
    <t xml:space="preserve">The only calls without an OAuth2 token are direct object uploads with pre-signed URLs (browser to HIP landing bucket, File Transfer Manager to NRS transient storage) and internal calls inside HIP that use platform service identities. Each exception is listed and approved by the security architect.</t>
  </si>
  <si>
    <t xml:space="preserve">Stakeholder requirement: OAuth2 app-to-app; J2 steps 11; J3 steps 19</t>
  </si>
  <si>
    <t xml:space="preserve">Browser; File Transfer Manager</t>
  </si>
  <si>
    <t xml:space="preserve">HIP landing bucket; NRS transient storage</t>
  </si>
  <si>
    <t xml:space="preserve">HIP; NRS</t>
  </si>
  <si>
    <t xml:space="preserve">The exception list is approved; pre-signed URLs meet NFR-04; no other unauthenticated path exists.</t>
  </si>
  <si>
    <t xml:space="preserve">Method / endpoint</t>
  </si>
  <si>
    <t xml:space="preserve">Consumer</t>
  </si>
  <si>
    <t xml:space="preserve">Provider</t>
  </si>
  <si>
    <t xml:space="preserve">Journey steps</t>
  </si>
  <si>
    <t xml:space="preserve">Via HIP</t>
  </si>
  <si>
    <t xml:space="preserve">In integration scope</t>
  </si>
  <si>
    <t xml:space="preserve">Notes</t>
  </si>
  <si>
    <t xml:space="preserve">Authentication</t>
  </si>
  <si>
    <t xml:space="preserve">OAuth2 client</t>
  </si>
  <si>
    <t xml:space="preserve">Scope</t>
  </si>
  <si>
    <t xml:space="preserve">API-01</t>
  </si>
  <si>
    <t xml:space="preserve">Thread Service API (create thread)</t>
  </si>
  <si>
    <t xml:space="preserve">POST Thread Service API</t>
  </si>
  <si>
    <t xml:space="preserve">Thread Manager (Thread Service)</t>
  </si>
  <si>
    <t xml:space="preserve">J1 9-12</t>
  </si>
  <si>
    <t xml:space="preserve">Endpoint to be confirmed for iPaaS and HCP teams</t>
  </si>
  <si>
    <t xml:space="preserve">OAuth2 client credentials</t>
  </si>
  <si>
    <t xml:space="preserve">sdec-frontend-internal</t>
  </si>
  <si>
    <t xml:space="preserve">threads.write</t>
  </si>
  <si>
    <t xml:space="preserve">API-02</t>
  </si>
  <si>
    <t xml:space="preserve">Thread Service API (save details)</t>
  </si>
  <si>
    <t xml:space="preserve">PUT Thread Service API</t>
  </si>
  <si>
    <t xml:space="preserve">J1 7, 21</t>
  </si>
  <si>
    <t xml:space="preserve">No</t>
  </si>
  <si>
    <t xml:space="preserve">No (front end)</t>
  </si>
  <si>
    <t xml:space="preserve">Cached at front end</t>
  </si>
  <si>
    <t xml:space="preserve">User session (front end)</t>
  </si>
  <si>
    <t xml:space="preserve">n/a</t>
  </si>
  <si>
    <t xml:space="preserve">API-03</t>
  </si>
  <si>
    <t xml:space="preserve">Interaction API (save details)</t>
  </si>
  <si>
    <t xml:space="preserve">PUT Interaction API</t>
  </si>
  <si>
    <t xml:space="preserve">J1 33</t>
  </si>
  <si>
    <t xml:space="preserve">Check your answers loop</t>
  </si>
  <si>
    <t xml:space="preserve">API-04</t>
  </si>
  <si>
    <t xml:space="preserve">Submission Service API</t>
  </si>
  <si>
    <t xml:space="preserve">PUT Submission Service API</t>
  </si>
  <si>
    <t xml:space="preserve">Thread Manager (Submission Service)</t>
  </si>
  <si>
    <t xml:space="preserve">J1 40-44</t>
  </si>
  <si>
    <t xml:space="preserve">Handoff point to crystallisation</t>
  </si>
  <si>
    <t xml:space="preserve">threads.submit</t>
  </si>
  <si>
    <t xml:space="preserve">API-05</t>
  </si>
  <si>
    <t xml:space="preserve">Document uploads</t>
  </si>
  <si>
    <t xml:space="preserve">POST /document_uploads</t>
  </si>
  <si>
    <t xml:space="preserve">Front-end Service (external)</t>
  </si>
  <si>
    <t xml:space="preserve">J2 3, 10</t>
  </si>
  <si>
    <t xml:space="preserve">Returns pre-signed URLs to browser</t>
  </si>
  <si>
    <t xml:space="preserve">API-06</t>
  </si>
  <si>
    <t xml:space="preserve">File Transfer API</t>
  </si>
  <si>
    <t xml:space="preserve">POST /file_uploads</t>
  </si>
  <si>
    <t xml:space="preserve">J2 5-7</t>
  </si>
  <si>
    <t xml:space="preserve">Yes</t>
  </si>
  <si>
    <t xml:space="preserve">Microservice listed as TBC - iPaaS / MFT</t>
  </si>
  <si>
    <t xml:space="preserve">sdec-frontend-external, sdec-frontend-internal</t>
  </si>
  <si>
    <t xml:space="preserve">file-uploads.write</t>
  </si>
  <si>
    <t xml:space="preserve">API-07</t>
  </si>
  <si>
    <t xml:space="preserve">Pre-signed upload</t>
  </si>
  <si>
    <t xml:space="preserve">S3 PUT (pre-signed URL)</t>
  </si>
  <si>
    <t xml:space="preserve">J2 11</t>
  </si>
  <si>
    <t xml:space="preserve">Single or multi-part</t>
  </si>
  <si>
    <t xml:space="preserve">Pre-signed URL (exception, SEC-07); completion call OAuth2</t>
  </si>
  <si>
    <t xml:space="preserve">sdec-frontend-external (completion)</t>
  </si>
  <si>
    <t xml:space="preserve">API-08</t>
  </si>
  <si>
    <t xml:space="preserve">AV scan</t>
  </si>
  <si>
    <t xml:space="preserve">J2 12</t>
  </si>
  <si>
    <t xml:space="preserve">Yes (HIP capability)</t>
  </si>
  <si>
    <t xml:space="preserve">AV ceiling G-15</t>
  </si>
  <si>
    <t xml:space="preserve">HIP internal service identity (exception, SEC-07)</t>
  </si>
  <si>
    <t xml:space="preserve">hip-file-transfer-manager</t>
  </si>
  <si>
    <t xml:space="preserve">API-09</t>
  </si>
  <si>
    <t xml:space="preserve">Interaction submissions (front end)</t>
  </si>
  <si>
    <t xml:space="preserve">POST /interaction/submissions</t>
  </si>
  <si>
    <t xml:space="preserve">J3 3, 9</t>
  </si>
  <si>
    <t xml:space="preserve">Carries hash</t>
  </si>
  <si>
    <t xml:space="preserve">API-10</t>
  </si>
  <si>
    <t xml:space="preserve">Interaction submissions (Thread Manager)</t>
  </si>
  <si>
    <t xml:space="preserve">Thread Manager (Interaction and Document Service)</t>
  </si>
  <si>
    <t xml:space="preserve">J3 6-8</t>
  </si>
  <si>
    <t xml:space="preserve">Synchronous ack only</t>
  </si>
  <si>
    <t xml:space="preserve">sdec-frontend-external</t>
  </si>
  <si>
    <t xml:space="preserve">submissions.write</t>
  </si>
  <si>
    <t xml:space="preserve">API-11</t>
  </si>
  <si>
    <t xml:space="preserve">NRS Submission API</t>
  </si>
  <si>
    <t xml:space="preserve">Submission API</t>
  </si>
  <si>
    <t xml:space="preserve">Thread Manager</t>
  </si>
  <si>
    <t xml:space="preserve">NRS Submission service</t>
  </si>
  <si>
    <t xml:space="preserve">J3 11-13</t>
  </si>
  <si>
    <t xml:space="preserve">Yes (API Management)</t>
  </si>
  <si>
    <t xml:space="preserve">NRS to publish via iPaaS</t>
  </si>
  <si>
    <t xml:space="preserve">sdec-thread-manager</t>
  </si>
  <si>
    <t xml:space="preserve">nrs.submissions.write</t>
  </si>
  <si>
    <t xml:space="preserve">API-12</t>
  </si>
  <si>
    <t xml:space="preserve">NRS Attachment API</t>
  </si>
  <si>
    <t xml:space="preserve">Attachment API</t>
  </si>
  <si>
    <t xml:space="preserve">NRS Attachment Service</t>
  </si>
  <si>
    <t xml:space="preserve">J3 15-17</t>
  </si>
  <si>
    <t xml:space="preserve">Returns pre-signed URLs</t>
  </si>
  <si>
    <t xml:space="preserve">nrs.attachments.write</t>
  </si>
  <si>
    <t xml:space="preserve">API-13</t>
  </si>
  <si>
    <t xml:space="preserve">NRS pre-signed upload</t>
  </si>
  <si>
    <t xml:space="preserve">S3 PUT (NRS pre-signed URL)</t>
  </si>
  <si>
    <t xml:space="preserve">J3 19-20</t>
  </si>
  <si>
    <t xml:space="preserve">Uses URLs from API-12</t>
  </si>
  <si>
    <t xml:space="preserve">Pre-signed URL issued by NRS (exception, SEC-07)</t>
  </si>
  <si>
    <t xml:space="preserve">API-14</t>
  </si>
  <si>
    <t xml:space="preserve">J3 26-28; J1 45</t>
  </si>
  <si>
    <t xml:space="preserve">Synchronous success / failure</t>
  </si>
  <si>
    <t xml:space="preserve">edms.documents.write</t>
  </si>
  <si>
    <t xml:space="preserve">API-15</t>
  </si>
  <si>
    <t xml:space="preserve">Send notification</t>
  </si>
  <si>
    <t xml:space="preserve">TBC - 'Send notification'</t>
  </si>
  <si>
    <t xml:space="preserve">J3 33</t>
  </si>
  <si>
    <t xml:space="preserve">SMS Gateway sends email / SMS (J3 37-38)</t>
  </si>
  <si>
    <t xml:space="preserve">notifications.send</t>
  </si>
  <si>
    <t xml:space="preserve">Client id</t>
  </si>
  <si>
    <t xml:space="preserve">Application</t>
  </si>
  <si>
    <t xml:space="preserve">Grant and client authentication</t>
  </si>
  <si>
    <t xml:space="preserve">Scopes</t>
  </si>
  <si>
    <t xml:space="preserve">Audience</t>
  </si>
  <si>
    <t xml:space="preserve">Used for</t>
  </si>
  <si>
    <t xml:space="preserve">Front-end Service (internal)</t>
  </si>
  <si>
    <t xml:space="preserve">client_credentials, private_key_jwt</t>
  </si>
  <si>
    <t xml:space="preserve">threads.write, threads.submit, file-uploads.write</t>
  </si>
  <si>
    <t xml:space="preserve">hip-api</t>
  </si>
  <si>
    <t xml:space="preserve">API-01, API-04, API-06</t>
  </si>
  <si>
    <t xml:space="preserve">file-uploads.write, submissions.write</t>
  </si>
  <si>
    <t xml:space="preserve">API-06, API-07 completion, API-10</t>
  </si>
  <si>
    <t xml:space="preserve">nrs.submissions.write, nrs.attachments.write, notifications.send, events.publish, events.subscribe</t>
  </si>
  <si>
    <t xml:space="preserve">hip-api, hip-events</t>
  </si>
  <si>
    <t xml:space="preserve">API-11, API-12, API-15, EVT-04, EVT-07, EVT-09, EVT-10</t>
  </si>
  <si>
    <t xml:space="preserve">hip-apim</t>
  </si>
  <si>
    <t xml:space="preserve">HIP API Management (outbound to Thread Manager)</t>
  </si>
  <si>
    <t xml:space="preserve">client_credentials, mTLS</t>
  </si>
  <si>
    <t xml:space="preserve">threads.write, threads.submit, submissions.write</t>
  </si>
  <si>
    <t xml:space="preserve">API-01, API-04, API-10</t>
  </si>
  <si>
    <t xml:space="preserve">hip-apim-nrs</t>
  </si>
  <si>
    <t xml:space="preserve">HIP API Management (outbound to NRS)</t>
  </si>
  <si>
    <t xml:space="preserve">As agreed with NRS</t>
  </si>
  <si>
    <t xml:space="preserve">nrs</t>
  </si>
  <si>
    <t xml:space="preserve">API-11, API-12</t>
  </si>
  <si>
    <t xml:space="preserve">hip-apim-comms</t>
  </si>
  <si>
    <t xml:space="preserve">HIP API Management (outbound to Communication Service)</t>
  </si>
  <si>
    <t xml:space="preserve">comms</t>
  </si>
  <si>
    <t xml:space="preserve">edms.documents.write, events.publish, events.subscribe</t>
  </si>
  <si>
    <t xml:space="preserve">edms, hip-events</t>
  </si>
  <si>
    <t xml:space="preserve">API-14, EVT-02 to EVT-05, EVT-08, EVT-11</t>
  </si>
  <si>
    <t xml:space="preserve">nrs-events</t>
  </si>
  <si>
    <t xml:space="preserve">NRS (event publisher)</t>
  </si>
  <si>
    <t xml:space="preserve">client_credentials</t>
  </si>
  <si>
    <t xml:space="preserve">events.publish (nrs.attachments-accepted)</t>
  </si>
  <si>
    <t xml:space="preserve">hip-events</t>
  </si>
  <si>
    <t xml:space="preserve">Authentication per API</t>
  </si>
  <si>
    <t xml:space="preserve">API</t>
  </si>
  <si>
    <t xml:space="preserve">Method</t>
  </si>
  <si>
    <t xml:space="preserve">Client</t>
  </si>
  <si>
    <t xml:space="preserve">Token notes</t>
  </si>
  <si>
    <t xml:space="preserve">aud hip-api; HIP calls Thread Manager with client hip-apim, aud sdec-thread-manager</t>
  </si>
  <si>
    <t xml:space="preserve">Browser to front end; not app-to-app</t>
  </si>
  <si>
    <t xml:space="preserve">aud hip-api; HIP calls Thread Manager with client hip-apim</t>
  </si>
  <si>
    <t xml:space="preserve">Front end then calls API-06 with its own token</t>
  </si>
  <si>
    <t xml:space="preserve">aud hip-api</t>
  </si>
  <si>
    <t xml:space="preserve">Upload itself carries no token</t>
  </si>
  <si>
    <t xml:space="preserve">Inside HIP</t>
  </si>
  <si>
    <t xml:space="preserve">Front end then calls API-10 with its own token</t>
  </si>
  <si>
    <t xml:space="preserve">aud hip-api; HIP calls NRS with client hip-apim-nrs, aud nrs</t>
  </si>
  <si>
    <t xml:space="preserve">Command consumed with OAuth2 broker client (SEC-06)</t>
  </si>
  <si>
    <t xml:space="preserve">aud edms</t>
  </si>
  <si>
    <t xml:space="preserve">aud hip-api; HIP calls the Communication Service with client hip-apim-comms, aud comms</t>
  </si>
  <si>
    <t xml:space="preserve">Token validation at HIP API Management (SEC-03)</t>
  </si>
  <si>
    <t xml:space="preserve">Check</t>
  </si>
  <si>
    <t xml:space="preserve">Rule</t>
  </si>
  <si>
    <t xml:space="preserve">On failure</t>
  </si>
  <si>
    <t xml:space="preserve">Signature</t>
  </si>
  <si>
    <t xml:space="preserve">Verified against the authorisation server's JWKS; keys cached and refreshed on unknown kid</t>
  </si>
  <si>
    <t xml:space="preserve">401</t>
  </si>
  <si>
    <t xml:space="preserve">Issuer (iss)</t>
  </si>
  <si>
    <t xml:space="preserve">Must equal the agreed authorisation server</t>
  </si>
  <si>
    <t xml:space="preserve">Audience (aud)</t>
  </si>
  <si>
    <t xml:space="preserve">Must equal hip-api (or hip-events for the broker)</t>
  </si>
  <si>
    <t xml:space="preserve">Expiry and not-before (exp, nbf)</t>
  </si>
  <si>
    <t xml:space="preserve">Within lifetime, with at most 60 seconds clock skew</t>
  </si>
  <si>
    <t xml:space="preserve">Must include the scope listed for the API operation</t>
  </si>
  <si>
    <t xml:space="preserve">403</t>
  </si>
  <si>
    <t xml:space="preserve">Client (client_id)</t>
  </si>
  <si>
    <t xml:space="preserve">Must be a registered, enabled client; used for throttling and audit</t>
  </si>
  <si>
    <t xml:space="preserve">401 / 429</t>
  </si>
  <si>
    <t xml:space="preserve">Exceptions to OAuth2 (SEC-07)</t>
  </si>
  <si>
    <t xml:space="preserve">Call</t>
  </si>
  <si>
    <t xml:space="preserve">Mechanism</t>
  </si>
  <si>
    <t xml:space="preserve">Control</t>
  </si>
  <si>
    <t xml:space="preserve">Browser to HIP landing bucket (API-07)</t>
  </si>
  <si>
    <t xml:space="preserve">Pre-signed URL</t>
  </si>
  <si>
    <t xml:space="preserve">Object-scoped, expires in 15 minutes (proposed), issued only after an OAuth2-authenticated call to API-06</t>
  </si>
  <si>
    <t xml:space="preserve">File Transfer Manager to NRS transient storage (API-13)</t>
  </si>
  <si>
    <t xml:space="preserve">Pre-signed URL issued by NRS</t>
  </si>
  <si>
    <t xml:space="preserve">Issued to Thread Manager over an OAuth2-authenticated call (API-12); expiry set by NRS</t>
  </si>
  <si>
    <t xml:space="preserve">File Transfer Manager to AV Service and S3 (API-08)</t>
  </si>
  <si>
    <t xml:space="preserve">HIP platform service identity (IAM role)</t>
  </si>
  <si>
    <t xml:space="preserve">Internal to HIP; no route from outside the platform</t>
  </si>
  <si>
    <t xml:space="preserve">Browsers to SDEC front ends (API-02, 03, 05, 09)</t>
  </si>
  <si>
    <t xml:space="preserve">User session authentication</t>
  </si>
  <si>
    <t xml:space="preserve">User authentication, not app-to-app; out of scope for this document</t>
  </si>
  <si>
    <t xml:space="preserve">API / event</t>
  </si>
  <si>
    <t xml:space="preserve">Step</t>
  </si>
  <si>
    <t xml:space="preserve">From / to</t>
  </si>
  <si>
    <t xml:space="preserve">Sample payload</t>
  </si>
  <si>
    <t xml:space="preserve">Create thread</t>
  </si>
  <si>
    <t xml:space="preserve">1 Request</t>
  </si>
  <si>
    <t xml:space="preserve">Front-end Service (internal) to API Management</t>
  </si>
  <si>
    <t xml:space="preserve">POST https://api.hip.example/sdec/v1/threads HTTP/1.1
Authorization: Bearer eyJhbGciOiJSUzI1NiIsImtpZCI6ImF1dGgta2V5LTIwMjYtMDkifQ.eyJpc3MiOi...(sample, truncated)
Content-Type: application/json
X-Correlation-Id: 0d9a6c3e-5f21-4b8d-a7c4-2e1f9b8d6a37
Idempotency-Key: 8c6e2b4a-0f1d-4a3c-9e5b-7d2f1a6c8e90
X-User-Context: eyJhbGciOiJSUzI1NiJ9...(signed internal user claim)
{
  "recipient": {
    "firstName": "Alex",
    "lastName": "Example",
    "email": "alex.example@example.com",
    "mobileNumber": "+447700900123",
    "nino": "QQ123456C"
  }
}</t>
  </si>
  <si>
    <t xml:space="preserve">6-7 Response</t>
  </si>
  <si>
    <t xml:space="preserve">Thread Manager to front end (via API Management)</t>
  </si>
  <si>
    <t xml:space="preserve">HTTP/1.1 201 Created
Content-Type: application/json
Location: /sdec/v1/threads/5b1f2c8e-3a4d-4c1b-9f2e-7d6a1c0b9e41
X-Correlation-Id: 0d9a6c3e-5f21-4b8d-a7c4-2e1f9b8d6a37
{
  "threadId": "5b1f2c8e-3a4d-4c1b-9f2e-7d6a1c0b9e41",
  "status": "PENDING",
  "createdAt": "2026-10-01T09:15:02Z"
}</t>
  </si>
  <si>
    <t xml:space="preserve">8-9 Error</t>
  </si>
  <si>
    <t xml:space="preserve">Duplicate idempotency key</t>
  </si>
  <si>
    <t xml:space="preserve">HTTP/1.1 409 Conflict
Content-Type: application/problem+json
{
  "type": "https://api.hip.example/problems/idempotency-conflict",
  "title": "Idempotency key reused with a different request",
  "status": 409,
  "detail": "Idempotency-Key 8c6e2b4a-... was first used with a different body.",
  "correlationId": "0d9a6c3e-5f21-4b8d-a7c4-2e1f9b8d6a37"
}</t>
  </si>
  <si>
    <t xml:space="preserve">Save thread details (front end)</t>
  </si>
  <si>
    <t xml:space="preserve">Internal user browser to front end</t>
  </si>
  <si>
    <t xml:space="preserve">PUT https://internal.sdec.example/threads/5b1f2c8e-3a4d-4c1b-9f2e-7d6a1c0b9e41 HTTP/1.1
Cookie: session=(user session)
Content-Type: application/json
{
  "messageTitle": "Documents needed for your enquiry",
  "messageBody": "Please upload the documents listed below by the response deadline.",
  "attachments": [
    {
      "fileCollectionId": "f4a2b6c8-1d3e-4f5a-9b7c-8e6d2a4c1b03",
      "fileId": "a1c3e5f7-2b4d-4e6f-8a0b-1c3d5e7f9a21"
    }
  ]
}</t>
  </si>
  <si>
    <t xml:space="preserve">4 Response</t>
  </si>
  <si>
    <t xml:space="preserve">Front end to browser</t>
  </si>
  <si>
    <t xml:space="preserve">HTTP/1.1 200 OK
Content-Type: text/html
(Check Answers page)</t>
  </si>
  <si>
    <t xml:space="preserve">Change thread details (front end)</t>
  </si>
  <si>
    <t xml:space="preserve">3 Request</t>
  </si>
  <si>
    <t xml:space="preserve">PUT https://internal.sdec.example/interactions/c2e8a7d4-91b3-4f6e-8a25-3d7b4e6f1a90 HTTP/1.1
Cookie: session=(user session)
Content-Type: application/json
{
  "messageTitle": "Documents needed for your enquiry (updated)",
  "responseDeadline": "2026-10-31"
}</t>
  </si>
  <si>
    <t xml:space="preserve">5 Response</t>
  </si>
  <si>
    <t xml:space="preserve">HTTP/1.1 200 OK
Content-Type: text/html
(Check Answers screen)</t>
  </si>
  <si>
    <t xml:space="preserve">Submit thread</t>
  </si>
  <si>
    <t xml:space="preserve">2 Request</t>
  </si>
  <si>
    <t xml:space="preserve">PUT https://api.hip.example/sdec/v1/threads/5b1f2c8e-3a4d-4c1b-9f2e-7d6a1c0b9e41/submission HTTP/1.1
Authorization: Bearer eyJhbGciOiJSUzI1NiIsImtpZCI6ImF1dGgta2V5LTIwMjYtMDkifQ.eyJpc3MiOi...(sample, truncated)
Content-Type: application/json
X-Correlation-Id: 0d9a6c3e-5f21-4b8d-a7c4-2e1f9b8d6a37
Idempotency-Key: 8c6e2b4a-0f1d-4a3c-9e5b-7d2f1a6c8e90
{
  "messageTitle": "Documents needed for your enquiry",
  "messageBody": "Please upload the documents listed below by the response deadline.",
  "responseDeadline": "2026-10-31",
  "attachments": [
    {
      "fileCollectionId": "f4a2b6c8-1d3e-4f5a-9b7c-8e6d2a4c1b03",
      "fileId": "a1c3e5f7-2b4d-4e6f-8a0b-1c3d5e7f9a21"
    }
  ]
}</t>
  </si>
  <si>
    <t xml:space="preserve">5-6 Response</t>
  </si>
  <si>
    <t xml:space="preserve">HTTP/1.1 200 OK
Content-Type: application/json
X-Correlation-Id: 0d9a6c3e-5f21-4b8d-a7c4-2e1f9b8d6a37
{
  "threadId": "5b1f2c8e-3a4d-4c1b-9f2e-7d6a1c0b9e41",
  "businessReference": "SDEC-TH-2026-004817",
  "status": "SUBMITTED",
  "submittedAt": "2026-10-01T09:21:40Z"
}</t>
  </si>
  <si>
    <t xml:space="preserve">Error</t>
  </si>
  <si>
    <t xml:space="preserve">Thread not in PENDING state</t>
  </si>
  <si>
    <t xml:space="preserve">HTTP/1.1 409 Conflict
Content-Type: application/problem+json
{
  "type": "https://api.hip.example/problems/invalid-thread-state",
  "title": "Thread cannot be submitted",
  "status": 409,
  "detail": "Thread is in state SUBMITTED; expected PENDING.",
  "correlationId": "0d9a6c3e-5f21-4b8d-a7c4-2e1f9b8d6a37"
}</t>
  </si>
  <si>
    <t xml:space="preserve">8 Command</t>
  </si>
  <si>
    <t xml:space="preserve">Thread Manager to Event Management</t>
  </si>
  <si>
    <t xml:space="preserve"># Delivered by HIP Event Management
{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"9d1f3b5a-7c2e-4a6b-8f0d-3e5a7c9b1d26",
    "target": "EDMS",
    "submissionId": "(not set for threads)",
    "documents": [
      {
        "fileId": "a1c3e5f7-2b4d-4e6f-8a0b-1c3d5e7f9a21",
        "documentClass": "SDEC_THREAD_ATTACHMENT"
      },
      {
        "fileId": "b2d4f6a8-3c5e-4f7a-9b1c-2d4e6f8a0b32",
        "documentClass": "SDEC_THREAD_ATTACHMENT"
      }
    ]
  }
}</t>
  </si>
  <si>
    <t xml:space="preserve">9 Event</t>
  </si>
  <si>
    <t xml:space="preserve"># Delivered by HIP Event Management
{
  "eventId": "3c9e1a5b-7d2f-4b6a-8e0c-1f3a5c7e9b24",
  "eventType": "thread_confirmed",
  "eventVersion": "1.0",
  "occurredAt": "2026-10-01T09:42:17Z",
  "source": "sdec.thread-manager",
  "correlationId": "0d9a6c3e-5f21-4b8d-a7c4-2e1f9b8d6a37",
  "threadId": "5b1f2c8e-3a4d-4c1b-9f2e-7d6a1c0b9e41",
  "interactionId": "c2e8a7d4-91b3-4f6e-8a25-3d7b4e6f1a90",
  "data": {
    "threadReference": "SDEC-TH-2026-004817",
    "recipient": {
      "email": "alex.example@example.com",
      "mobileNumber": "+447700900123"
    },
    "responseDeadline": "2026-10-31"
  }
}</t>
  </si>
  <si>
    <t xml:space="preserve">Request document upload (front end)</t>
  </si>
  <si>
    <t xml:space="preserve">External user browser to front end</t>
  </si>
  <si>
    <t xml:space="preserve">POST https://www.sdec.example/document_uploads HTTP/1.1
Cookie: session=(user session)
Content-Type: application/json
{
  "interactionId": "c2e8a7d4-91b3-4f6e-8a25-3d7b4e6f1a90",
  "files": [
    {
      "clientFileRef": "f1",
      "fileName": "bank-statement-sept.pdf",
      "mediaType": "application/pdf",
      "sizeBytes": 2483117
    },
    {
      "clientFileRef": "f2",
      "fileName": "site-survey.mp4",
      "mediaType": "video/mp4",
      "sizeBytes": 157286400
    }
  ]
}</t>
  </si>
  <si>
    <t xml:space="preserve">5 Event</t>
  </si>
  <si>
    <t xml:space="preserve">Front end to Event Management</t>
  </si>
  <si>
    <t xml:space="preserve"># Delivered by HIP Event Management
{
  "eventId": "3c9e1a5b-7d2f-4b6a-8e0c-1f3a5c7e9b24",
  "eventType": "document_upload_requested",
  "eventVersion": "1.0",
  "occurredAt": "2026-10-01T09:42:17Z",
  "source": "sdec.frontend-external",
  "correlationId": "0d9a6c3e-5f21-4b8d-a7c4-2e1f9b8d6a37",
  "threadId": "5b1f2c8e-3a4d-4c1b-9f2e-7d6a1c0b9e41",
  "interactionId": "c2e8a7d4-91b3-4f6e-8a25-3d7b4e6f1a90",
  "fileCollectionId": "f4a2b6c8-1d3e-4f5a-9b7c-8e6d2a4c1b03",
  "data": {
    "status": "DOCUMENT_UPLOAD_REQUESTED",
    "files": [
      {
        "fileId": "a1c3e5f7-2b4d-4e6f-8a0b-1c3d5e7f9a21",
        "fileName": "bank-statement-sept.pdf",
        "mediaType": "application/pdf",
        "sizeBytes": 2483117
      },
      {
        "fileId": "b2d4f6a8-3c5e-4f7a-9b1c-2d4e6f8a0b32",
        "fileName": "site-survey.mp4",
        "mediaType": "video/mp4",
        "sizeBytes": 157286400
      }
    ]
  }
}</t>
  </si>
  <si>
    <t xml:space="preserve">6 Response</t>
  </si>
  <si>
    <t xml:space="preserve">HTTP/1.1 201 Created
Content-Type: application/json
{
  "fileCollectionId": "f4a2b6c8-1d3e-4f5a-9b7c-8e6d2a4c1b03",
  "uploads": [
    {
      "clientFileRef": "f1",
      "fileId": "a1c3e5f7-2b4d-4e6f-8a0b-1c3d5e7f9a21",
      "strategy": "SINGLE",
      "url": "https://hip-sdec-landing.s3.eu-west-2.amazonaws.com/fc/f4a2b6c8-1d3e-4f5a-9b7c-8e6d2a4c1b03/a1c3e5f7-2b4d-4e6f-8a0b-1c3d5e7f9a21?X-Amz-Algorithm=AWS4-HMAC-SHA256&amp;X-Amz-Expires=900&amp;X-Amz-Signature=5e1b...c4",
      "expiresAt": "2026-10-01T09:30:02Z"
    },
    {
      "clientFileRef": "f2",
      "fileId": "b2d4f6a8-3c5e-4f7a-9b1c-2d4e6f8a0b32",
      "strategy": "MULTIPART",
      "uploadId": "VXBsb2FkSWQtZXhhbXBsZQ",
      "partSizeBytes": 52428800,
      "parts": [
        {
          "partNumber": 1,
          "url": "https://hip-sdec-landing.s3.eu-west-2.amazonaws.com/fc/f4a2b6c8-1d3e-4f5a-9b7c-8e6d2a4c1b03/b2d4f6a8-3c5e-4f7a-9b1c-2d4e6f8a0b32?partNumber=1&amp;uploadId=VXBsb2FkSWQtZXhhbXBsZQ&amp;X-Amz-Signature=91ad...01"
        },
        {
          "partNumber": 2,
          "url": "https://hip-sdec-landing.s3.eu-west-2.amazonaws.com/fc/f4a2b6c8-1d3e-4f5a-9b7c-8e6d2a4c1b03/b2d4f6a8-3c5e-4f7a-9b1c-2d4e6f8a0b32?partNumber=2&amp;uploadId=VXBsb2FkSWQtZXhhbXBsZQ&amp;X-Amz-Signature=91ad...02"
        },
        {
          "partNumber": 3,
          "url": "https://hip-sdec-landing.s3.eu-west-2.amazonaws.com/fc/f4a2b6c8-1d3e-4f5a-9b7c-8e6d2a4c1b03/b2d4f6a8-3c5e-4f7a-9b1c-2d4e6f8a0b32?partNumber=3&amp;uploadId=VXBsb2FkSWQtZXhhbXBsZQ&amp;X-Amz-Signature=91ad...03"
        }
      ],
      "expiresAt": "2026-10-01T09:30:02Z"
    }
  ]
}</t>
  </si>
  <si>
    <t xml:space="preserve">File Transfer API: request upload</t>
  </si>
  <si>
    <t xml:space="preserve">Front-end Service (external) to API Management</t>
  </si>
  <si>
    <t xml:space="preserve">POST https://api.hip.example/mft/v1/file_uploads HTTP/1.1
Authorization: Bearer eyJhbGciOiJSUzI1NiIsImtpZCI6ImF1dGgta2V5LTIwMjYtMDkifQ.eyJpc3MiOi...(sample, truncated)
Content-Type: application/json
X-Correlation-Id: 0d9a6c3e-5f21-4b8d-a7c4-2e1f9b8d6a37
Idempotency-Key: 8c6e2b4a-0f1d-4a3c-9e5b-7d2f1a6c8e90
{
  "threadId": "5b1f2c8e-3a4d-4c1b-9f2e-7d6a1c0b9e41",
  "interactionId": "c2e8a7d4-91b3-4f6e-8a25-3d7b4e6f1a90",
  "uploadedBy": "EXTERNAL",
  "files": [
    {
      "clientFileRef": "f1",
      "fileName": "bank-statement-sept.pdf",
      "mediaType": "application/pdf",
      "sizeBytes": 2483117
    },
    {
      "clientFileRef": "f2",
      "fileName": "site-survey.mp4",
      "mediaType": "video/mp4",
      "sizeBytes": 157286400
    }
  ]
}</t>
  </si>
  <si>
    <t xml:space="preserve">9-10 Response</t>
  </si>
  <si>
    <t xml:space="preserve">File Transfer Manager to front end (via API Management)</t>
  </si>
  <si>
    <t xml:space="preserve">HTTP/1.1 201 Created
Content-Type: application/json
X-Correlation-Id: 0d9a6c3e-5f21-4b8d-a7c4-2e1f9b8d6a37
{
  "fileCollectionId": "f4a2b6c8-1d3e-4f5a-9b7c-8e6d2a4c1b03",
  "files": [
    {
      "clientFileRef": "f1",
      "fileId": "a1c3e5f7-2b4d-4e6f-8a0b-1c3d5e7f9a21",
      "strategy": "SINGLE",
      "url": "https://hip-sdec-landing.s3.eu-west-2.amazonaws.com/fc/f4a2b6c8-1d3e-4f5a-9b7c-8e6d2a4c1b03/a1c3e5f7-2b4d-4e6f-8a0b-1c3d5e7f9a21?X-Amz-Algorithm=AWS4-HMAC-SHA256&amp;X-Amz-Expires=900&amp;X-Amz-Signature=5e1b...c4",
      "expiresAt": "2026-10-01T09:30:02Z"
    },
    {
      "clientFileRef": "f2",
      "fileId": "b2d4f6a8-3c5e-4f7a-9b1c-2d4e6f8a0b32",
      "strategy": "MULTIPART",
      "uploadId": "VXBsb2FkSWQtZXhhbXBsZQ",
      "partSizeBytes": 52428800,
      "parts": [
        {
          "partNumber": 1,
          "url": "https://hip-sdec-landing.s3.eu-west-2.amazonaws.com/fc/f4a2b6c8-1d3e-4f5a-9b7c-8e6d2a4c1b03/b2d4f6a8-3c5e-4f7a-9b1c-2d4e6f8a0b32?partNumber=1&amp;uploadId=VXBsb2FkSWQtZXhhbXBsZQ&amp;X-Amz-Signature=91ad...01"
        },
        {
          "partNumber": 2,
          "url": "https://hip-sdec-landing.s3.eu-west-2.amazonaws.com/fc/f4a2b6c8-1d3e-4f5a-9b7c-8e6d2a4c1b03/b2d4f6a8-3c5e-4f7a-9b1c-2d4e6f8a0b32?partNumber=2&amp;uploadId=VXBsb2FkSWQtZXhhbXBsZQ&amp;X-Amz-Signature=91ad...02"
        },
        {
          "partNumber": 3,
          "url": "https://hip-sdec-landing.s3.eu-west-2.amazonaws.com/fc/f4a2b6c8-1d3e-4f5a-9b7c-8e6d2a4c1b03/b2d4f6a8-3c5e-4f7a-9b1c-2d4e6f8a0b32?partNumber=3&amp;uploadId=VXBsb2FkSWQtZXhhbXBsZQ&amp;X-Amz-Signature=91ad...03"
        }
      ],
      "expiresAt": "2026-10-01T09:30:02Z"
    }
  ]
}</t>
  </si>
  <si>
    <t xml:space="preserve">11-12 Error</t>
  </si>
  <si>
    <t xml:space="preserve">File above size limit</t>
  </si>
  <si>
    <t xml:space="preserve">HTTP/1.1 413 Content Too Large
Content-Type: application/problem+json
{
  "type": "https://api.hip.example/problems/file-too-large",
  "title": "File exceeds the maximum size",
  "status": 413,
  "detail": "site-survey.mp4 is 262144000 bytes; the limit is 209715200 bytes.",
  "correlationId": "0d9a6c3e-5f21-4b8d-a7c4-2e1f9b8d6a37"
}</t>
  </si>
  <si>
    <t xml:space="preserve">Direct upload with pre-signed URL</t>
  </si>
  <si>
    <t xml:space="preserve">1 Request (single)</t>
  </si>
  <si>
    <t xml:space="preserve">Browser to HIP landing bucket</t>
  </si>
  <si>
    <t xml:space="preserve">PUT https://hip-sdec-landing.s3.eu-west-2.amazonaws.com/fc/f4a2b6c8-1d3e-4f5a-9b7c-8e6d2a4c1b03/a1c3e5f7-2b4d-4e6f-8a0b-1c3d5e7f9a21?X-Amz-Algorithm=AWS4-HMAC-SHA256&amp;X-Amz-Expires=900&amp;X-Amz-Signature=5e1b...c4 HTTP/1.1
Content-Type: application/pdf
Content-Length: 2483117
&lt;binary file content&gt;</t>
  </si>
  <si>
    <t xml:space="preserve">1 Request (one part)</t>
  </si>
  <si>
    <t xml:space="preserve">PUT https://hip-sdec-landing.s3.eu-west-2.amazonaws.com/fc/f4a2b6c8-1d3e-4f5a-9b7c-8e6d2a4c1b03/b2d4f6a8-3c5e-4f7a-9b1c-2d4e6f8a0b32?partNumber=1&amp;uploadId=VXBsb2FkSWQtZXhhbXBsZQ&amp;X-Amz-Signature=91ad...01 HTTP/1.1
Content-Length: 52428800
&lt;binary part content&gt;</t>
  </si>
  <si>
    <t xml:space="preserve">2 Response</t>
  </si>
  <si>
    <t xml:space="preserve">Landing bucket to browser</t>
  </si>
  <si>
    <t xml:space="preserve">HTTP/1.1 200 OK
ETag: "9b2cf535f27731c974343645a3985328"</t>
  </si>
  <si>
    <t xml:space="preserve">4 Request (complete)</t>
  </si>
  <si>
    <t xml:space="preserve">Front end to API Management</t>
  </si>
  <si>
    <t xml:space="preserve">POST https://api.hip.example/mft/v1/file_uploads/f4a2b6c8-1d3e-4f5a-9b7c-8e6d2a4c1b03/files/b2d4f6a8-3c5e-4f7a-9b1c-2d4e6f8a0b32/complete HTTP/1.1
Authorization: Bearer eyJhbGciOiJSUzI1NiIsImtpZCI6ImF1dGgta2V5LTIwMjYtMDkifQ.eyJpc3MiOi...(sample, truncated)
Content-Type: application/json
X-Correlation-Id: 0d9a6c3e-5f21-4b8d-a7c4-2e1f9b8d6a37
Idempotency-Key: 8c6e2b4a-0f1d-4a3c-9e5b-7d2f1a6c8e90
{
  "parts": [
    {
      "partNumber": 1,
      "eTag": "9b2cf535f27731c974343645a3985328"
    },
    {
      "partNumber": 2,
      "eTag": "4f1e0c2d7a6b5938e1c0d2f3a4b5c6d7"
    },
    {
      "partNumber": 3,
      "eTag": "c81e728d9d4c2f636f067f89cc14862c"
    }
  ]
}</t>
  </si>
  <si>
    <t xml:space="preserve">7 Response</t>
  </si>
  <si>
    <t xml:space="preserve">File Transfer Manager to front end</t>
  </si>
  <si>
    <t xml:space="preserve">HTTP/1.1 200 OK
Content-Type: application/json
{
  "fileId": "b2d4f6a8-3c5e-4f7a-9b1c-2d4e6f8a0b32",
  "status": "UPLOADED"
}</t>
  </si>
  <si>
    <t xml:space="preserve">8 Storage event</t>
  </si>
  <si>
    <t xml:space="preserve">S3 to File Transfer Manager</t>
  </si>
  <si>
    <t xml:space="preserve">{
  "Records": [
    {
      "eventName": "ObjectCreated:CompleteMultipartUpload",
      "eventTime": "2026-10-01T09:29:51Z",
      "s3": {
        "bucket": {
          "name": "hip-sdec-landing"
        },
        "object": {
          "key": "fc/f4a2b6c8-1d3e-4f5a-9b7c-8e6d2a4c1b03/b2d4f6a8-3c5e-4f7a-9b1c-2d4e6f8a0b32",
          "size": 157286400
        }
      }
    }
  ]
}</t>
  </si>
  <si>
    <t xml:space="preserve">AV scan and staging</t>
  </si>
  <si>
    <t xml:space="preserve">File Transfer Manager to AV Service (internal)</t>
  </si>
  <si>
    <t xml:space="preserve">{
  "scanId": "71b3d5f7-9a1c-4e3b-8d5f-2a4c6e8b0d19",
  "bucket": "hip-sdec-landing",
  "objectKey": "fc/f4a2b6c8-1d3e-4f5a-9b7c-8e6d2a4c1b03/a1c3e5f7-2b4d-4e6f-8a0b-1c3d5e7f9a21",
  "fileId": "a1c3e5f7-2b4d-4e6f-8a0b-1c3d5e7f9a21"
}</t>
  </si>
  <si>
    <t xml:space="preserve">2 Response (clean)</t>
  </si>
  <si>
    <t xml:space="preserve">AV Service to File Transfer Manager</t>
  </si>
  <si>
    <t xml:space="preserve">{
  "scanId": "71b3d5f7-9a1c-4e3b-8d5f-2a4c6e8b0d19",
  "fileId": "a1c3e5f7-2b4d-4e6f-8a0b-1c3d5e7f9a21",
  "verdict": "CLEAN",
  "engine": "HIP AV engine (version recorded)",
  "scannedAt": "2026-10-01T09:30:12Z"
}</t>
  </si>
  <si>
    <t xml:space="preserve">2 Response (infected)</t>
  </si>
  <si>
    <t xml:space="preserve">{
  "scanId": "83c5e7a9-1b3d-4f5a-9e7c-4b6d8f0a2c31",
  "fileId": "b2d4f6a8-3c5e-4f7a-9b1c-2d4e6f8a0b32",
  "verdict": "INFECTED",
  "signature": "EICAR-Test-File",
  "scannedAt": "2026-10-01T09:30:44Z"
}</t>
  </si>
  <si>
    <t xml:space="preserve">4 Event (failure)</t>
  </si>
  <si>
    <t xml:space="preserve">File Transfer Manager to Event Management</t>
  </si>
  <si>
    <t xml:space="preserve"># Delivered by HIP Event Management
{
  "eventId": "3c9e1a5b-7d2f-4b6a-8e0c-1f3a5c7e9b24",
  "eventType": "file_upload_failed",
  "eventVersion": "1.0",
  "occurredAt": "2026-10-01T09:42:17Z",
  "source": "hip.file-transfer-manager",
  "correlationId": "0d9a6c3e-5f21-4b8d-a7c4-2e1f9b8d6a37",
  "threadId": "5b1f2c8e-3a4d-4c1b-9f2e-7d6a1c0b9e41",
  "interactionId": "c2e8a7d4-91b3-4f6e-8a25-3d7b4e6f1a90",
  "fileCollectionId": "f4a2b6c8-1d3e-4f5a-9b7c-8e6d2a4c1b03",
  "data": {
    "failedFiles": [
      {
        "fileId": "b2d4f6a8-3c5e-4f7a-9b1c-2d4e6f8a0b32",
        "reason": "MALWARE_DETECTED",
        "verdict": "INFECTED",
        "detail": "Detection name withheld from external users"
      }
    ],
    "location": "QUARANTINE"
  }
}</t>
  </si>
  <si>
    <t xml:space="preserve">8 Event (success)</t>
  </si>
  <si>
    <t xml:space="preserve"># Delivered by HIP Event Management
{
  "eventId": "3c9e1a5b-7d2f-4b6a-8e0c-1f3a5c7e9b24",
  "eventType": "file_upload_succeeded",
  "eventVersion": "1.0",
  "occurredAt": "2026-10-01T09:42:17Z",
  "source": "hip.file-transfer-manager",
  "correlationId": "0d9a6c3e-5f21-4b8d-a7c4-2e1f9b8d6a37",
  "threadId": "5b1f2c8e-3a4d-4c1b-9f2e-7d6a1c0b9e41",
  "interactionId": "c2e8a7d4-91b3-4f6e-8a25-3d7b4e6f1a90",
  "fileCollectionId": "f4a2b6c8-1d3e-4f5a-9b7c-8e6d2a4c1b03",
  "data": {
    "files": [
      {
        "fileId": "a1c3e5f7-2b4d-4e6f-8a0b-1c3d5e7f9a21",
        "sha256": "9f86d081884c7d659a2feaa0c55ad015a3bf4f1b2b0b822cd15d6c15b0f00a08",
        "location": "CLEAN_STAGING"
      },
      {
        "fileId": "b2d4f6a8-3c5e-4f7a-9b1c-2d4e6f8a0b32",
        "sha256": "60303ae22b998861bce3b28f33eec1be758a213c86c93c076dbe9f558c11c752",
        "location": "CLEAN_STAGING"
      }
    ]
  }
}</t>
  </si>
  <si>
    <t xml:space="preserve">Submit interaction response (front end)</t>
  </si>
  <si>
    <t xml:space="preserve">POST https://www.sdec.example/interaction/submissions HTTP/1.1
Cookie: session=(user session)
Content-Type: application/json
{
  "interactionId": "c2e8a7d4-91b3-4f6e-8a25-3d7b4e6f1a90",
  "submissionContent": {
    "answers": [
      {
        "questionId": "q1",
        "value": "The documents requested are attached."
      },
      {
        "questionId": "q2",
        "value": "2026-09-30"
      }
    ]
  },
  "contentHash": {
    "alg": "SHA-256",
    "value": "3f1d4a9c0be2d7e85f61a3c9b04e7d2a6c8f1e0b5d3a7c9e2f4b6d8a0c1e3f5a7"
  }
}</t>
  </si>
  <si>
    <t xml:space="preserve">HTTP/1.1 202 Accepted
Content-Type: application/json
{
  "submissionId": "e7b9d1f3-4a6c-4e8f-a1b3-5c7d9e1f3a54",
  "status": "SUBMISSION_REQUESTED"
}</t>
  </si>
  <si>
    <t xml:space="preserve">Initiate submission (Thread Manager)</t>
  </si>
  <si>
    <t xml:space="preserve">POST https://api.hip.example/sdec/v1/interaction/submissions HTTP/1.1
Authorization: Bearer eyJhbGciOiJSUzI1NiIsImtpZCI6ImF1dGgta2V5LTIwMjYtMDkifQ.eyJpc3MiOi...(sample, truncated)
Content-Type: application/json
X-Correlation-Id: 0d9a6c3e-5f21-4b8d-a7c4-2e1f9b8d6a37
Idempotency-Key: 8c6e2b4a-0f1d-4a3c-9e5b-7d2f1a6c8e90
{
  "threadId": "5b1f2c8e-3a4d-4c1b-9f2e-7d6a1c0b9e41",
  "interactionId": "c2e8a7d4-91b3-4f6e-8a25-3d7b4e6f1a90",
  "submissionContent": {
    "answers": [
      {
        "questionId": "q1",
        "value": "The documents requested are attached."
      },
      {
        "questionId": "q2",
        "value": "2026-09-30"
      }
    ]
  },
  "contentHash": {
    "alg": "SHA-256",
    "value": "3f1d4a9c0be2d7e85f61a3c9b04e7d2a6c8f1e0b5d3a7c9e2f4b6d8a0c1e3f5a7"
  },
  "signature": {
    "alg": "RS256",
    "keyId": "sdec-fes-signing-2026-09",
    "value": "MEUCIQDk3...(sample, truncated)"
  },
  "documents": [
    {
      "fileId": "a1c3e5f7-2b4d-4e6f-8a0b-1c3d5e7f9a21"
    },
    {
      "fileId": "b2d4f6a8-3c5e-4f7a-9b1c-2d4e6f8a0b32"
    }
  ]
}</t>
  </si>
  <si>
    <t xml:space="preserve">4-5 Response</t>
  </si>
  <si>
    <t xml:space="preserve">HTTP/1.1 202 Accepted
Content-Type: application/json
Location: /sdec/v1/interaction/submissions/e7b9d1f3-4a6c-4e8f-a1b3-5c7d9e1f3a54
{
  "submissionId": "e7b9d1f3-4a6c-4e8f-a1b3-5c7d9e1f3a54",
  "status": "SUBMISSION_REQUESTED",
  "receivedAt": "2026-10-01T09:41:58Z"
}</t>
  </si>
  <si>
    <t xml:space="preserve">Document not clean-staged</t>
  </si>
  <si>
    <t xml:space="preserve">HTTP/1.1 422 Unprocessable Content
Content-Type: application/problem+json
{
  "type": "https://api.hip.example/problems/document-not-ready",
  "title": "A document is not ready for submission",
  "status": 422,
  "detail": "File b2d4f6a8-3c5e-4f7a-9b1c-2d4e6f8a0b32 is not in CLEAN_STAGED state.",
  "correlationId": "0d9a6c3e-5f21-4b8d-a7c4-2e1f9b8d6a37"
}</t>
  </si>
  <si>
    <t xml:space="preserve">7 Command</t>
  </si>
  <si>
    <t xml:space="preserve"># Delivered by HIP Event Management
{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"9d1f3b5a-7c2e-4a6b-8f0d-3e5a7c9b1d26",
    "target": "EDMS",
    "submissionId": "e7b9d1f3-4a6c-4e8f-a1b3-5c7d9e1f3a54",
    "documents": [
      {
        "fileId": "a1c3e5f7-2b4d-4e6f-8a0b-1c3d5e7f9a21",
        "documentClass": "SDEC_SUBMISSION"
      },
      {
        "fileId": "b2d4f6a8-3c5e-4f7a-9b1c-2d4e6f8a0b32",
        "documentClass": "SDEC_SUBMISSION"
      }
    ]
  }
}</t>
  </si>
  <si>
    <t xml:space="preserve">Thread Manager to API Management</t>
  </si>
  <si>
    <t xml:space="preserve">POST https://api.hip.example/nrs/v1/submissions HTTP/1.1
Authorization: Bearer eyJhbGciOiJSUzI1NiIsImtpZCI6ImF1dGgta2V5LTIwMjYtMDkifQ.eyJpc3MiOi...(sample, truncated)
Content-Type: application/json
X-Correlation-Id: 0d9a6c3e-5f21-4b8d-a7c4-2e1f9b8d6a37
Idempotency-Key: 8c6e2b4a-0f1d-4a3c-9e5b-7d2f1a6c8e90
{
  "submissionId": "e7b9d1f3-4a6c-4e8f-a1b3-5c7d9e1f3a54",
  "businessContext": {
    "threadId": "5b1f2c8e-3a4d-4c1b-9f2e-7d6a1c0b9e41",
    "interactionId": "c2e8a7d4-91b3-4f6e-8a25-3d7b4e6f1a90",
    "threadReference": "SDEC-TH-2026-004817"
  },
  "payload": {
    "answers": [
      {
        "questionId": "q1",
        "value": "The documents requested are attached."
      },
      {
        "questionId": "q2",
        "value": "2026-09-30"
      }
    ]
  },
  "payloadHash": {
    "alg": "SHA-256",
    "value": "3f1d4a9c0be2d7e85f61a3c9b04e7d2a6c8f1e0b5d3a7c9e2f4b6d8a0c1e3f5a7"
  },
  "signature": {
    "alg": "RS256",
    "keyId": "sdec-fes-signing-2026-09",
    "value": "MEUCIQDk3...(sample, truncated)"
  },
  "attachments": [
    {
      "documentId": "a1c3e5f7-2b4d-4e6f-8a0b-1c3d5e7f9a21",
      "fileName": "bank-statement-sept.pdf",
      "mediaType": "application/pdf",
      "sizeBytes": 2483117,
      "sha256": "9f86d081884c7d659a2feaa0c55ad015a3bf4f1b2b0b822cd15d6c15b0f00a08"
    },
    {
      "documentId": "b2d4f6a8-3c5e-4f7a-9b1c-2d4e6f8a0b32",
      "fileName": "site-survey.mp4",
      "mediaType": "video/mp4",
      "sizeBytes": 157286400,
      "sha256": "60303ae22b998861bce3b28f33eec1be758a213c86c93c076dbe9f558c11c752"
    }
  ]
}</t>
  </si>
  <si>
    <t xml:space="preserve">3 Request (onward)</t>
  </si>
  <si>
    <t xml:space="preserve">API Management to NRS (HIP's own token, SEC-05)</t>
  </si>
  <si>
    <t xml:space="preserve">POST https://nrs.example/api/v1/submissions HTTP/1.1
Authorization: Bearer eyJ...(HIP token, aud nrs)
Content-Type: application/json
X-Correlation-Id: 0d9a6c3e-5f21-4b8d-a7c4-2e1f9b8d6a37
Idempotency-Key: e7b9d1f3-4a6c-4e8f-a1b3-5c7d9e1f3a54
(same body as step 1)</t>
  </si>
  <si>
    <t xml:space="preserve">NRS to Thread Manager (via API Management)</t>
  </si>
  <si>
    <t xml:space="preserve">HTTP/1.1 201 Created
Content-Type: application/json
{
  "nrsSubmissionId": "NRS-2026-000418273",
  "receivedAt": "2026-10-01T09:42:03Z"
}</t>
  </si>
  <si>
    <t xml:space="preserve">8 Error</t>
  </si>
  <si>
    <t xml:space="preserve">NRS unavailable</t>
  </si>
  <si>
    <t xml:space="preserve">HTTP/1.1 503 Service Unavailable
Content-Type: application/problem+json
Retry-After: 30
{
  "type": "https://api.hip.example/problems/upstream-unavailable",
  "title": "NRS is unavailable",
  "status": 503,
  "detail": "Retry with the same Idempotency-Key.",
  "correlationId": "0d9a6c3e-5f21-4b8d-a7c4-2e1f9b8d6a37"
}</t>
  </si>
  <si>
    <t xml:space="preserve">POST https://api.hip.example/nrs/v1/submissions/NRS-2026-000418273/attachments HTTP/1.1
Authorization: Bearer eyJhbGciOiJSUzI1NiIsImtpZCI6ImF1dGgta2V5LTIwMjYtMDkifQ.eyJpc3MiOi...(sample, truncated)
Content-Type: application/json
X-Correlation-Id: 0d9a6c3e-5f21-4b8d-a7c4-2e1f9b8d6a37
Idempotency-Key: 8c6e2b4a-0f1d-4a3c-9e5b-7d2f1a6c8e90
{
  "attachments": [
    {
      "documentId": "a1c3e5f7-2b4d-4e6f-8a0b-1c3d5e7f9a21",
      "mediaType": "application/pdf",
      "sizeBytes": 2483117,
      "sha256": "9f86d081884c7d659a2feaa0c55ad015a3bf4f1b2b0b822cd15d6c15b0f00a08"
    },
    {
      "documentId": "b2d4f6a8-3c5e-4f7a-9b1c-2d4e6f8a0b32",
      "mediaType": "video/mp4",
      "sizeBytes": 157286400,
      "sha256": "60303ae22b998861bce3b28f33eec1be758a213c86c93c076dbe9f558c11c752"
    }
  ]
}</t>
  </si>
  <si>
    <t xml:space="preserve">HTTP/1.1 201 Created
Content-Type: application/json
{
  "attachments": [
    {
      "documentId": "a1c3e5f7-2b4d-4e6f-8a0b-1c3d5e7f9a21",
      "uploadUrl": "https://nrs-transient.s3.eu-west-2.amazonaws.com/NRS-2026-000418273/a1c3e5f7-2b4d-4e6f-8a0b-1c3d5e7f9a21?X-Amz-Signature=77c2...1a",
      "expiresAt": "2026-10-01T10:05:00Z"
    },
    {
      "documentId": "b2d4f6a8-3c5e-4f7a-9b1c-2d4e6f8a0b32",
      "uploadUrl": "https://nrs-transient.s3.eu-west-2.amazonaws.com/NRS-2026-000418273/b2d4f6a8-3c5e-4f7a-9b1c-2d4e6f8a0b32?X-Amz-Signature=08fe...b3",
      "expiresAt": "2026-10-01T10:05:00Z"
    }
  ]
}</t>
  </si>
  <si>
    <t xml:space="preserve">6 Command</t>
  </si>
  <si>
    <t xml:space="preserve"># Delivered by HIP Event Management
{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"6a2c8e4f-1b3d-4f5a-9c7e-0d2f4a6c8e13",
    "target": "NRS_TRANSIENT",
    "submissionId": "e7b9d1f3-4a6c-4e8f-a1b3-5c7d9e1f3a54",
    "nrsSubmissionId": "NRS-2026-000418273",
    "documents": [
      {
        "fileId": "a1c3e5f7-2b4d-4e6f-8a0b-1c3d5e7f9a21",
        "uploadUrl": "https://nrs-transient.s3.eu-west-2.amazonaws.com/NRS-2026-000418273/a1c3e5f7-2b4d-4e6f-8a0b-1c3d5e7f9a21?X-Amz-Signature=77c2...1a",
        "expiresAt": "2026-10-01T10:05:00Z"
      },
      {
        "fileId": "b2d4f6a8-3c5e-4f7a-9b1c-2d4e6f8a0b32",
        "uploadUrl": "https://nrs-transient.s3.eu-west-2.amazonaws.com/NRS-2026-000418273/b2d4f6a8-3c5e-4f7a-9b1c-2d4e6f8a0b32?X-Amz-Signature=08fe...b3",
        "expiresAt": "2026-10-01T10:05:00Z"
      }
    ]
  }
}</t>
  </si>
  <si>
    <t xml:space="preserve">1 Command</t>
  </si>
  <si>
    <t xml:space="preserve">Event Management to File Transfer Manager</t>
  </si>
  <si>
    <t xml:space="preserve"># Consumed from hip.mft.file-transfer-requests
{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"6a2c8e4f-1b3d-4f5a-9c7e-0d2f4a6c8e13",
    "target": "NRS_TRANSIENT",
    "submissionId": "e7b9d1f3-4a6c-4e8f-a1b3-5c7d9e1f3a54",
    "nrsSubmissionId": "NRS-2026-000418273",
    "documents": [
      {
        "fileId": "a1c3e5f7-2b4d-4e6f-8a0b-1c3d5e7f9a21",
        "uploadUrl": "https://nrs-transient.s3.eu-west-2.amazonaws.com/NRS-2026-000418273/a1c3e5f7-2b4d-4e6f-8a0b-1c3d5e7f9a21?X-Amz-Signature=77c2...1a",
        "expiresAt": "2026-10-01T10:05:00Z"
      },
      {
        "fileId": "b2d4f6a8-3c5e-4f7a-9b1c-2d4e6f8a0b32",
        "uploadUrl": "https://nrs-transient.s3.eu-west-2.amazonaws.com/NRS-2026-000418273/b2d4f6a8-3c5e-4f7a-9b1c-2d4e6f8a0b32?X-Amz-Signature=08fe...b3",
        "expiresAt": "2026-10-01T10:05:00Z"
      }
    ]
  }
}</t>
  </si>
  <si>
    <t xml:space="preserve">File Transfer Manager to NRS transient storage</t>
  </si>
  <si>
    <t xml:space="preserve">PUT https://nrs-transient.s3.eu-west-2.amazonaws.com/NRS-2026-000418273/a1c3e5f7-2b4d-4e6f-8a0b-1c3d5e7f9a21?X-Amz-Signature=77c2...1a HTTP/1.1
Content-Type: application/pdf
Content-Length: 2483117
x-amz-checksum-sha256: n4bQgYhMfWWaL+qgxVrQFaO/TxsrC4Is0V1sFbDwCgg=
&lt;binary file content read from clean staging&gt;</t>
  </si>
  <si>
    <t xml:space="preserve">NRS transient storage to File Transfer Manager</t>
  </si>
  <si>
    <t xml:space="preserve">HTTP/1.1 200 OK
ETag: "e3b0c44298fc1c149afbf4c8996fb924"</t>
  </si>
  <si>
    <t xml:space="preserve">5 Event (success)</t>
  </si>
  <si>
    <t xml:space="preserve"># Delivered by HIP Event Management
{
  "eventId": "3c9e1a5b-7d2f-4b6a-8e0c-1f3a5c7e9b24",
  "eventType": "file_transfer_succeeded",
  "eventVersion": "1.0",
  "occurredAt": "2026-10-01T09:42:17Z",
  "source": "hip.file-transfer-manager",
  "correlationId": "0d9a6c3e-5f21-4b8d-a7c4-2e1f9b8d6a37",
  "threadId": "5b1f2c8e-3a4d-4c1b-9f2e-7d6a1c0b9e41",
  "interactionId": "c2e8a7d4-91b3-4f6e-8a25-3d7b4e6f1a90",
  "fileCollectionId": "f4a2b6c8-1d3e-4f5a-9b7c-8e6d2a4c1b03",
  "data": {
    "commandId": "6a2c8e4f-1b3d-4f5a-9c7e-0d2f4a6c8e13",
    "target": "NRS_TRANSIENT",
    "documents": [
      {
        "fileId": "a1c3e5f7-2b4d-4e6f-8a0b-1c3d5e7f9a21",
        "status": "TRANSFERRED"
      },
      {
        "fileId": "b2d4f6a8-3c5e-4f7a-9b1c-2d4e6f8a0b32",
        "status": "TRANSFERRED"
      }
    ]
  }
}</t>
  </si>
  <si>
    <t xml:space="preserve">7 Event (failure)</t>
  </si>
  <si>
    <t xml:space="preserve"># Delivered by HIP Event Management
{
  "eventId": "3c9e1a5b-7d2f-4b6a-8e0c-1f3a5c7e9b24",
  "eventType": "file_transfer_failed",
  "eventVersion": "1.0",
  "occurredAt": "2026-10-01T09:42:17Z",
  "source": "hip.file-transfer-manager",
  "correlationId": "0d9a6c3e-5f21-4b8d-a7c4-2e1f9b8d6a37",
  "threadId": "5b1f2c8e-3a4d-4c1b-9f2e-7d6a1c0b9e41",
  "interactionId": "c2e8a7d4-91b3-4f6e-8a25-3d7b4e6f1a90",
  "fileCollectionId": "f4a2b6c8-1d3e-4f5a-9b7c-8e6d2a4c1b03",
  "data": {
    "commandId": "6a2c8e4f-1b3d-4f5a-9c7e-0d2f4a6c8e13",
    "target": "NRS_TRANSIENT",
    "documents": [
      {
        "fileId": "b2d4f6a8-3c5e-4f7a-9b1c-2d4e6f8a0b32",
        "reason": "URL_EXPIRED",
        "retryable": false
      }
    ]
  }
}</t>
  </si>
  <si>
    <t xml:space="preserve">NRS to Event Management</t>
  </si>
  <si>
    <t xml:space="preserve"># Delivered by HIP Event Management
{
  "eventId": "3c9e1a5b-7d2f-4b6a-8e0c-1f3a5c7e9b24",
  "eventType": "attachments_accepted",
  "eventVersion": "1.0",
  "occurredAt": "2026-10-01T09:42:17Z",
  "source": "nrs",
  "correlationId": "0d9a6c3e-5f21-4b8d-a7c4-2e1f9b8d6a37",
  "threadId": "5b1f2c8e-3a4d-4c1b-9f2e-7d6a1c0b9e41",
  "interactionId": "c2e8a7d4-91b3-4f6e-8a25-3d7b4e6f1a90",
  "data": {
    "nrsSubmissionId": "NRS-2026-000418273",
    "submissionId": "e7b9d1f3-4a6c-4e8f-a1b3-5c7d9e1f3a54",
    "status": "ACCEPTED",
    "documents": [
      {
        "documentId": "a1c3e5f7-2b4d-4e6f-8a0b-1c3d5e7f9a21",
        "status": "ACCEPTED"
      },
      {
        "documentId": "b2d4f6a8-3c5e-4f7a-9b1c-2d4e6f8a0b32",
        "status": "ACCEPTED"
      }
    ]
  }
}</t>
  </si>
  <si>
    <t xml:space="preserve"># Consumed from hip.mft.file-transfer-requests
{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"9d1f3b5a-7c2e-4a6b-8f0d-3e5a7c9b1d26",
    "target": "EDMS",
    "submissionId": "e7b9d1f3-4a6c-4e8f-a1b3-5c7d9e1f3a54",
    "documents": [
      {
        "fileId": "a1c3e5f7-2b4d-4e6f-8a0b-1c3d5e7f9a21",
        "documentClass": "SDEC_SUBMISSION"
      },
      {
        "fileId": "b2d4f6a8-3c5e-4f7a-9b1c-2d4e6f8a0b32",
        "documentClass": "SDEC_SUBMISSION"
      }
    ]
  }
}</t>
  </si>
  <si>
    <t xml:space="preserve">File Transfer Manager to eDMS</t>
  </si>
  <si>
    <t xml:space="preserve">POST https://edms.example/api/v1/documents HTTP/1.1
Authorization: Bearer eyJ...(client hip-file-transfer-manager, aud edms)
Content-Type: multipart/form-data; boundary=sdec-boundary
X-Correlation-Id: 0d9a6c3e-5f21-4b8d-a7c4-2e1f9b8d6a37
Idempotency-Key: a1c3e5f7-2b4d-4e6f-8a0b-1c3d5e7f9a21
--sdec-boundary
Content-Disposition: form-data; name="metadata"
Content-Type: application/json
{
  "documentId": "a1c3e5f7-2b4d-4e6f-8a0b-1c3d5e7f9a21",
  "threadId": "5b1f2c8e-3a4d-4c1b-9f2e-7d6a1c0b9e41",
  "interactionId": "c2e8a7d4-91b3-4f6e-8a25-3d7b4e6f1a90",
  "submissionId": "e7b9d1f3-4a6c-4e8f-a1b3-5c7d9e1f3a54",
  "fileName": "bank-statement-sept.pdf",
  "mediaType": "application/pdf",
  "sha256": "9f86d081884c7d659a2feaa0c55ad015a3bf4f1b2b0b822cd15d6c15b0f00a08",
  "documentClass": "SDEC_SUBMISSION",
  "retentionClass": "TBC with eDMS"
}
--sdec-boundary
Content-Disposition: form-data; name="content"; filename="bank-statement-sept.pdf"
Content-Type: application/pdf
&lt;binary file content&gt;
--sdec-boundary--</t>
  </si>
  <si>
    <t xml:space="preserve">eDMS to File Transfer Manager</t>
  </si>
  <si>
    <t xml:space="preserve">HTTP/1.1 201 Created
Content-Type: application/json
{
  "edmsDocumentRef": "DOXIS-SDEC-000912347",
  "storedAt": "2026-10-01T09:43:26Z"
}</t>
  </si>
  <si>
    <t xml:space="preserve">Rejected by eDMS</t>
  </si>
  <si>
    <t xml:space="preserve">HTTP/1.1 422 Unprocessable Content
Content-Type: application/problem+json
{
  "type": "https://edms.example/problems/metadata",
  "title": "Metadata rejected",
  "status": 422,
  "detail": "documentClass is not recognised."
}</t>
  </si>
  <si>
    <t xml:space="preserve">6 Event</t>
  </si>
  <si>
    <t xml:space="preserve"># Delivered by HIP Event Management
{
  "eventId": "3c9e1a5b-7d2f-4b6a-8e0c-1f3a5c7e9b24",
  "eventType": "file_transfer_succeeded",
  "eventVersion": "1.0",
  "occurredAt": "2026-10-01T09:42:17Z",
  "source": "hip.file-transfer-manager",
  "correlationId": "0d9a6c3e-5f21-4b8d-a7c4-2e1f9b8d6a37",
  "threadId": "5b1f2c8e-3a4d-4c1b-9f2e-7d6a1c0b9e41",
  "interactionId": "c2e8a7d4-91b3-4f6e-8a25-3d7b4e6f1a90",
  "fileCollectionId": "f4a2b6c8-1d3e-4f5a-9b7c-8e6d2a4c1b03",
  "data": {
    "commandId": "9d1f3b5a-7c2e-4a6b-8f0d-3e5a7c9b1d26",
    "target": "EDMS",
    "documents": [
      {
        "fileId": "a1c3e5f7-2b4d-4e6f-8a0b-1c3d5e7f9a21",
        "edmsDocumentRef": "DOXIS-SDEC-000912347"
      },
      {
        "fileId": "b2d4f6a8-3c5e-4f7a-9b1c-2d4e6f8a0b32",
        "edmsDocumentRef": "DOXIS-SDEC-000912348"
      }
    ]
  }
}</t>
  </si>
  <si>
    <t xml:space="preserve">POST https://api.hip.example/comms/v1/notifications HTTP/1.1
Authorization: Bearer eyJhbGciOiJSUzI1NiIsImtpZCI6ImF1dGgta2V5LTIwMjYtMDkifQ.eyJpc3MiOi...(sample, truncated)
Content-Type: application/json
X-Correlation-Id: 0d9a6c3e-5f21-4b8d-a7c4-2e1f9b8d6a37
Idempotency-Key: 8c6e2b4a-0f1d-4a3c-9e5b-7d2f1a6c8e90
{
  "messages": [
    {
      "templateId": "sdec-submission-completed-external",
      "recipients": [
        {
          "type": "EXTERNAL_USER",
          "channel": "EMAIL",
          "address": "alex.example@example.com"
        },
        {
          "type": "EXTERNAL_USER",
          "channel": "SMS",
          "address": "+447700900123"
        }
      ],
      "personalisation": {
        "threadReference": "SDEC-TH-2026-004817"
      }
    },
    {
      "templateId": "sdec-response-received-internal",
      "recipients": [
        {
          "type": "INTERNAL_USER",
          "channel": "EMAIL",
          "address": "case.officer@department.example"
        }
      ],
      "personalisation": {
        "threadReference": "SDEC-TH-2026-004817",
        "respondent": "Alex Example"
      }
    }
  ]
}</t>
  </si>
  <si>
    <t xml:space="preserve">3-4 Response</t>
  </si>
  <si>
    <t xml:space="preserve">Communication Service to Thread Manager (via API Management)</t>
  </si>
  <si>
    <t xml:space="preserve">HTTP/1.1 202 Accepted
Content-Type: application/json
{
  "notificationId": "4e6a8c0e-2f4b-4d6c-8a0e-5b7d9f1a3c62",
  "status": "ACCEPTED"
}</t>
  </si>
  <si>
    <t xml:space="preserve">SEC</t>
  </si>
  <si>
    <t xml:space="preserve">OAuth2 token flow</t>
  </si>
  <si>
    <t xml:space="preserve">1 Token request</t>
  </si>
  <si>
    <t xml:space="preserve">Thread Manager to authorisation server</t>
  </si>
  <si>
    <t xml:space="preserve">POST https://auth.hip.example/oauth2/token HTTP/1.1
Content-Type: application/x-www-form-urlencoded
grant_type=client_credentials
&amp;scope=nrs.submissions.write
&amp;client_assertion_type=urn%3Aietf%3Aparams%3Aoauth%3Aclient-assertion-type%3Ajwt-bearer
&amp;client_assertion=eyJhbGciOiJQUzI1NiJ9...(JWT signed with the client's private key)</t>
  </si>
  <si>
    <t xml:space="preserve">3 Token response</t>
  </si>
  <si>
    <t xml:space="preserve">Authorisation server to Thread Manager</t>
  </si>
  <si>
    <t xml:space="preserve">HTTP/1.1 200 OK
Content-Type: application/json
Cache-Control: no-store
{
  "access_token": "eyJhbGciOiJSUzI1NiIsImtpZCI6ImF1dGgta2V5LTIwMjYtMDkifQ.eyJpc3MiOi...(sample, truncated)",
  "token_type": "Bearer",
  "expires_in": 900,
  "scope": "nrs.submissions.write"
}</t>
  </si>
  <si>
    <t xml:space="preserve">Token claims (decoded)</t>
  </si>
  <si>
    <t xml:space="preserve">Access token payload</t>
  </si>
  <si>
    <t xml:space="preserve">{
  "iss": "https://auth.hip.example",
  "sub": "sdec-thread-manager",
  "client_id": "sdec-thread-manager",
  "aud": "hip-api",
  "scope": "nrs.submissions.write",
  "iat": 1790847720,
  "nbf": 1790847720,
  "exp": 1790848620,
  "jti": "b7d9f1a3-5c7e-4a9b-8d1f-6e8a0c2e4b75"
}</t>
  </si>
  <si>
    <t xml:space="preserve">5 API call</t>
  </si>
  <si>
    <t xml:space="preserve">POST https://api.hip.example/nrs/v1/submissions HTTP/1.1
Authorization: Bearer eyJhbGciOiJSUzI1NiIsImtpZCI6ImF1dGgta2V5LTIwMjYtMDkifQ.eyJpc3MiOi...(sample, truncated)
Content-Type: application/json
X-Correlation-Id: 0d9a6c3e-5f21-4b8d-a7c4-2e1f9b8d6a37
(see API-11)</t>
  </si>
  <si>
    <t xml:space="preserve">12 Rejected call</t>
  </si>
  <si>
    <t xml:space="preserve">API Management to Thread Manager</t>
  </si>
  <si>
    <t xml:space="preserve">HTTP/1.1 401 Unauthorized
WWW-Authenticate: Bearer error="invalid_token", error_description="token expired"
Content-Type: application/problem+json
{
  "type": "https://api.hip.example/problems/invalid-token",
  "title": "Access token is not valid",
  "status": 401,
  "detail": "The token has expired.",
  "correlationId": "0d9a6c3e-5f21-4b8d-a7c4-2e1f9b8d6a37"
}</t>
  </si>
  <si>
    <t xml:space="preserve">Scope failure</t>
  </si>
  <si>
    <t xml:space="preserve">API Management to caller</t>
  </si>
  <si>
    <t xml:space="preserve">HTTP/1.1 403 Forbidden
WWW-Authenticate: Bearer error="insufficient_scope", scope="nrs.submissions.write"
Content-Type: application/problem+json
{
  "type": "https://api.hip.example/problems/insufficient-scope",
  "title": "Token lacks the required scope",
  "status": 403,
  "detail": "nrs.submissions.write is required for this operation.",
  "correlationId": "0d9a6c3e-5f21-4b8d-a7c4-2e1f9b8d6a37"
}</t>
  </si>
  <si>
    <t xml:space="preserve">Event / command</t>
  </si>
  <si>
    <t xml:space="preserve">Via HIP Event Management</t>
  </si>
  <si>
    <t xml:space="preserve">{
  "eventId": "3c9e1a5b-7d2f-4b6a-8e0c-1f3a5c7e9b24",
  "eventType": "document_upload_requested",
  "eventVersion": "1.0",
  "occurredAt": "2026-10-01T09:42:17Z",
  "source": "sdec.frontend-external",
  "correlationId": "0d9a6c3e-5f21-4b8d-a7c4-2e1f9b8d6a37",
  "threadId": "5b1f2c8e-3a4d-4c1b-9f2e-7d6a1c0b9e41",
  "interactionId": "c2e8a7d4-91b3-4f6e-8a25-3d7b4e6f1a90",
  "fileCollectionId": "f4a2b6c8-1d3e-4f5a-9b7c-8e6d2a4c1b03",
  "data": {
    "status": "DOCUMENT_UPLOAD_REQUESTED",
    "files": [
      {
        "fileId": "a1c3e5f7-2b4d-4e6f-8a0b-1c3d5e7f9a21",
        "fileName": "bank-statement-sept.pdf",
        "mediaType": "application/pdf",
        "sizeBytes": 2483117
      },
      {
        "fileId": "b2d4f6a8-3c5e-4f7a-9b1c-2d4e6f8a0b32",
        "fileName": "site-survey.mp4",
        "mediaType": "video/mp4",
        "sizeBytes": 157286400
      }
    ]
  }
}</t>
  </si>
  <si>
    <t xml:space="preserve">{
  "eventId": "3c9e1a5b-7d2f-4b6a-8e0c-1f3a5c7e9b24",
  "eventType": "file_upload_failed",
  "eventVersion": "1.0",
  "occurredAt": "2026-10-01T09:42:17Z",
  "source": "hip.file-transfer-manager",
  "correlationId": "0d9a6c3e-5f21-4b8d-a7c4-2e1f9b8d6a37",
  "threadId": "5b1f2c8e-3a4d-4c1b-9f2e-7d6a1c0b9e41",
  "interactionId": "c2e8a7d4-91b3-4f6e-8a25-3d7b4e6f1a90",
  "fileCollectionId": "f4a2b6c8-1d3e-4f5a-9b7c-8e6d2a4c1b03",
  "data": {
    "failedFiles": [
      {
        "fileId": "b2d4f6a8-3c5e-4f7a-9b1c-2d4e6f8a0b32",
        "reason": "MALWARE_DETECTED",
        "verdict": "INFECTED",
        "detail": "Detection name withheld from external users"
      }
    ],
    "location": "QUARANTINE"
  }
}</t>
  </si>
  <si>
    <t xml:space="preserve">{
  "eventId": "3c9e1a5b-7d2f-4b6a-8e0c-1f3a5c7e9b24",
  "eventType": "file_upload_succeeded",
  "eventVersion": "1.0",
  "occurredAt": "2026-10-01T09:42:17Z",
  "source": "hip.file-transfer-manager",
  "correlationId": "0d9a6c3e-5f21-4b8d-a7c4-2e1f9b8d6a37",
  "threadId": "5b1f2c8e-3a4d-4c1b-9f2e-7d6a1c0b9e41",
  "interactionId": "c2e8a7d4-91b3-4f6e-8a25-3d7b4e6f1a90",
  "fileCollectionId": "f4a2b6c8-1d3e-4f5a-9b7c-8e6d2a4c1b03",
  "data": {
    "files": [
      {
        "fileId": "a1c3e5f7-2b4d-4e6f-8a0b-1c3d5e7f9a21",
        "sha256": "9f86d081884c7d659a2feaa0c55ad015a3bf4f1b2b0b822cd15d6c15b0f00a08",
        "location": "CLEAN_STAGING"
      },
      {
        "fileId": "b2d4f6a8-3c5e-4f7a-9b1c-2d4e6f8a0b32",
        "sha256": "60303ae22b998861bce3b28f33eec1be758a213c86c93c076dbe9f558c11c752",
        "location": "CLEAN_STAGING"
      }
    ]
  }
}</t>
  </si>
  <si>
    <t xml:space="preserve">request_file_transfer (NRS)</t>
  </si>
  <si>
    <t xml:space="preserve">{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"6a2c8e4f-1b3d-4f5a-9c7e-0d2f4a6c8e13",
    "target": "NRS_TRANSIENT",
    "submissionId": "e7b9d1f3-4a6c-4e8f-a1b3-5c7d9e1f3a54",
    "nrsSubmissionId": "NRS-2026-000418273",
    "documents": [
      {
        "fileId": "a1c3e5f7-2b4d-4e6f-8a0b-1c3d5e7f9a21",
        "uploadUrl": "https://nrs-transient.s3.eu-west-2.amazonaws.com/NRS-2026-000418273/a1c3e5f7-2b4d-4e6f-8a0b-1c3d5e7f9a21?X-Amz-Signature=77c2...1a",
        "expiresAt": "2026-10-01T10:05:00Z"
      },
      {
        "fileId": "b2d4f6a8-3c5e-4f7a-9b1c-2d4e6f8a0b32",
        "uploadUrl": "https://nrs-transient.s3.eu-west-2.amazonaws.com/NRS-2026-000418273/b2d4f6a8-3c5e-4f7a-9b1c-2d4e6f8a0b32?X-Amz-Signature=08fe...b3",
        "expiresAt": "2026-10-01T10:05:00Z"
      }
    ]
  }
}</t>
  </si>
  <si>
    <t xml:space="preserve">{
  "eventId": "3c9e1a5b-7d2f-4b6a-8e0c-1f3a5c7e9b24",
  "eventType": "file_transfer_succeeded",
  "eventVersion": "1.0",
  "occurredAt": "2026-10-01T09:42:17Z",
  "source": "hip.file-transfer-manager",
  "correlationId": "0d9a6c3e-5f21-4b8d-a7c4-2e1f9b8d6a37",
  "threadId": "5b1f2c8e-3a4d-4c1b-9f2e-7d6a1c0b9e41",
  "interactionId": "c2e8a7d4-91b3-4f6e-8a25-3d7b4e6f1a90",
  "fileCollectionId": "f4a2b6c8-1d3e-4f5a-9b7c-8e6d2a4c1b03",
  "data": {
    "commandId": "6a2c8e4f-1b3d-4f5a-9c7e-0d2f4a6c8e13",
    "target": "NRS_TRANSIENT",
    "documents": [
      {
        "fileId": "a1c3e5f7-2b4d-4e6f-8a0b-1c3d5e7f9a21",
        "status": "TRANSFERRED"
      },
      {
        "fileId": "b2d4f6a8-3c5e-4f7a-9b1c-2d4e6f8a0b32",
        "status": "TRANSFERRED"
      }
    ]
  }
}</t>
  </si>
  <si>
    <t xml:space="preserve">attachments_accepted</t>
  </si>
  <si>
    <t xml:space="preserve">{
  "eventId": "3c9e1a5b-7d2f-4b6a-8e0c-1f3a5c7e9b24",
  "eventType": "attachments_accepted",
  "eventVersion": "1.0",
  "occurredAt": "2026-10-01T09:42:17Z",
  "source": "nrs",
  "correlationId": "0d9a6c3e-5f21-4b8d-a7c4-2e1f9b8d6a37",
  "threadId": "5b1f2c8e-3a4d-4c1b-9f2e-7d6a1c0b9e41",
  "interactionId": "c2e8a7d4-91b3-4f6e-8a25-3d7b4e6f1a90",
  "data": {
    "nrsSubmissionId": "NRS-2026-000418273",
    "submissionId": "e7b9d1f3-4a6c-4e8f-a1b3-5c7d9e1f3a54",
    "status": "ACCEPTED",
    "documents": [
      {
        "documentId": "a1c3e5f7-2b4d-4e6f-8a0b-1c3d5e7f9a21",
        "status": "ACCEPTED"
      },
      {
        "documentId": "b2d4f6a8-3c5e-4f7a-9b1c-2d4e6f8a0b32",
        "status": "ACCEPTED"
      }
    ]
  }
}</t>
  </si>
  <si>
    <t xml:space="preserve">request_file_transfer (eDMS)</t>
  </si>
  <si>
    <t xml:space="preserve">{
  "eventId": "3c9e1a5b-7d2f-4b6a-8e0c-1f3a5c7e9b24",
  "eventType": "request_file_transfer",
  "eventVersion": "1.0",
  "occurredAt": "2026-10-01T09:42:17Z",
  "source": "sdec.thread-manager",
  "correlationId": "0d9a6c3e-5f21-4b8d-a7c4-2e1f9b8d6a37",
  "threadId": "5b1f2c8e-3a4d-4c1b-9f2e-7d6a1c0b9e41",
  "interactionId": "c2e8a7d4-91b3-4f6e-8a25-3d7b4e6f1a90",
  "fileCollectionId": "f4a2b6c8-1d3e-4f5a-9b7c-8e6d2a4c1b03",
  "data": {
    "commandId": "9d1f3b5a-7c2e-4a6b-8f0d-3e5a7c9b1d26",
    "target": "EDMS",
    "submissionId": "e7b9d1f3-4a6c-4e8f-a1b3-5c7d9e1f3a54",
    "documents": [
      {
        "fileId": "a1c3e5f7-2b4d-4e6f-8a0b-1c3d5e7f9a21",
        "documentClass": "SDEC_SUBMISSION"
      },
      {
        "fileId": "b2d4f6a8-3c5e-4f7a-9b1c-2d4e6f8a0b32",
        "documentClass": "SDEC_SUBMISSION"
      }
    ]
  }
}</t>
  </si>
  <si>
    <t xml:space="preserve">{
  "eventId": "3c9e1a5b-7d2f-4b6a-8e0c-1f3a5c7e9b24",
  "eventType": "file_transfer_succeeded",
  "eventVersion": "1.0",
  "occurredAt": "2026-10-01T09:42:17Z",
  "source": "hip.file-transfer-manager",
  "correlationId": "0d9a6c3e-5f21-4b8d-a7c4-2e1f9b8d6a37",
  "threadId": "5b1f2c8e-3a4d-4c1b-9f2e-7d6a1c0b9e41",
  "interactionId": "c2e8a7d4-91b3-4f6e-8a25-3d7b4e6f1a90",
  "fileCollectionId": "f4a2b6c8-1d3e-4f5a-9b7c-8e6d2a4c1b03",
  "data": {
    "commandId": "9d1f3b5a-7c2e-4a6b-8f0d-3e5a7c9b1d26",
    "target": "EDMS",
    "documents": [
      {
        "fileId": "a1c3e5f7-2b4d-4e6f-8a0b-1c3d5e7f9a21",
        "edmsDocumentRef": "DOXIS-SDEC-000912347"
      },
      {
        "fileId": "b2d4f6a8-3c5e-4f7a-9b1c-2d4e6f8a0b32",
        "edmsDocumentRef": "DOXIS-SDEC-000912348"
      }
    ]
  }
}</t>
  </si>
  <si>
    <t xml:space="preserve">{
  "eventId": "3c9e1a5b-7d2f-4b6a-8e0c-1f3a5c7e9b24",
  "eventType": "submission_completed",
  "eventVersion": "1.0",
  "occurredAt": "2026-10-01T09:42:17Z",
  "source": "sdec.thread-manager",
  "correlationId": "0d9a6c3e-5f21-4b8d-a7c4-2e1f9b8d6a37",
  "threadId": "5b1f2c8e-3a4d-4c1b-9f2e-7d6a1c0b9e41",
  "interactionId": "c2e8a7d4-91b3-4f6e-8a25-3d7b4e6f1a90",
  "data": {
    "submissionId": "e7b9d1f3-4a6c-4e8f-a1b3-5c7d9e1f3a54",
    "status": "SUBMITTED",
    "threadReference": "SDEC-TH-2026-004817"
  }
}</t>
  </si>
  <si>
    <t xml:space="preserve">{
  "eventId": "3c9e1a5b-7d2f-4b6a-8e0c-1f3a5c7e9b24",
  "eventType": "delete_staged_files",
  "eventVersion": "1.0",
  "occurredAt": "2026-10-01T09:42:17Z",
  "source": "sdec.thread-manager",
  "correlationId": "0d9a6c3e-5f21-4b8d-a7c4-2e1f9b8d6a37",
  "threadId": "5b1f2c8e-3a4d-4c1b-9f2e-7d6a1c0b9e41",
  "interactionId": "c2e8a7d4-91b3-4f6e-8a25-3d7b4e6f1a90",
  "fileCollectionId": "f4a2b6c8-1d3e-4f5a-9b7c-8e6d2a4c1b03",
  "data": {
    "commandId": "2b4d6f8a-0c1e-4a3b-9d5f-7e9a1c3b5d47",
    "reason": "EDMS_INGESTED_AND_NRS_ACCEPTED"
  }
}</t>
  </si>
  <si>
    <t xml:space="preserve">{
  "eventId": "3c9e1a5b-7d2f-4b6a-8e0c-1f3a5c7e9b24",
  "eventType": "file_deletion_succeeded",
  "eventVersion": "1.0",
  "occurredAt": "2026-10-01T09:42:17Z",
  "source": "hip.file-transfer-manager",
  "correlationId": "0d9a6c3e-5f21-4b8d-a7c4-2e1f9b8d6a37",
  "threadId": "5b1f2c8e-3a4d-4c1b-9f2e-7d6a1c0b9e41",
  "interactionId": "c2e8a7d4-91b3-4f6e-8a25-3d7b4e6f1a90",
  "fileCollectionId": "f4a2b6c8-1d3e-4f5a-9b7c-8e6d2a4c1b03",
  "data": {
    "commandId": "2b4d6f8a-0c1e-4a3b-9d5f-7e9a1c3b5d47",
    "deletedFiles": [
      "a1c3e5f7-2b4d-4e6f-8a0b-1c3d5e7f9a21",
      "b2d4f6a8-3c5e-4f7a-9b1c-2d4e6f8a0b32"
    ]
  }
}</t>
  </si>
  <si>
    <t xml:space="preserve">{
  "eventId": "3c9e1a5b-7d2f-4b6a-8e0c-1f3a5c7e9b24",
  "eventType": "thread_confirmed",
  "eventVersion": "1.0",
  "occurredAt": "2026-10-01T09:42:17Z",
  "source": "sdec.thread-manager",
  "correlationId": "0d9a6c3e-5f21-4b8d-a7c4-2e1f9b8d6a37",
  "threadId": "5b1f2c8e-3a4d-4c1b-9f2e-7d6a1c0b9e41",
  "interactionId": "c2e8a7d4-91b3-4f6e-8a25-3d7b4e6f1a90",
  "data": {
    "threadReference": "SDEC-TH-2026-004817",
    "recipient": {
      "email": "alex.example@example.com",
      "mobileNumber": "+447700900123"
    },
    "responseDeadline": "2026-10-31"
  }
}</t>
  </si>
  <si>
    <t xml:space="preserve">file_transfer_failed / file_deletion_failed (proposed)</t>
  </si>
  <si>
    <t xml:space="preserve">{
  "eventId": "3c9e1a5b-7d2f-4b6a-8e0c-1f3a5c7e9b24",
  "eventType": "file_transfer_failed",
  "eventVersion": "1.0",
  "occurredAt": "2026-10-01T09:42:17Z",
  "source": "hip.file-transfer-manager",
  "correlationId": "0d9a6c3e-5f21-4b8d-a7c4-2e1f9b8d6a37",
  "threadId": "5b1f2c8e-3a4d-4c1b-9f2e-7d6a1c0b9e41",
  "interactionId": "c2e8a7d4-91b3-4f6e-8a25-3d7b4e6f1a90",
  "fileCollectionId": "f4a2b6c8-1d3e-4f5a-9b7c-8e6d2a4c1b03",
  "data": {
    "commandId": "6a2c8e4f-1b3d-4f5a-9c7e-0d2f4a6c8e13",
    "target": "NRS_TRANSIENT",
    "documents": [
      {
        "fileId": "b2d4f6a8-3c5e-4f7a-9b1c-2d4e6f8a0b32",
        "reason": "URL_EXPIRED",
        "retryable": false
      }
    ]
  }
}</t>
  </si>
  <si>
    <t xml:space="preserve">Kind</t>
  </si>
  <si>
    <t xml:space="preserve">Publisher</t>
  </si>
  <si>
    <t xml:space="preserve">Subscribers</t>
  </si>
  <si>
    <t xml:space="preserve">Channel</t>
  </si>
  <si>
    <t xml:space="preserve">Payload</t>
  </si>
  <si>
    <t xml:space="preserve">State change</t>
  </si>
  <si>
    <t xml:space="preserve">Event Management (TBC) or SDEC internal</t>
  </si>
  <si>
    <t xml:space="preserve">J2 8-9</t>
  </si>
  <si>
    <t xml:space="preserve">Thread / interaction state; document metadata</t>
  </si>
  <si>
    <t xml:space="preserve">Interaction: Document upload requested; SDEC Document records created</t>
  </si>
  <si>
    <t xml:space="preserve">Front-end Service (external); Thread Manager</t>
  </si>
  <si>
    <t xml:space="preserve">J2 14-17</t>
  </si>
  <si>
    <t xml:space="preserve">Document references / metadata; error details</t>
  </si>
  <si>
    <t xml:space="preserve">Session and interaction: Document upload failed</t>
  </si>
  <si>
    <t xml:space="preserve">Internal / support notification TBC</t>
  </si>
  <si>
    <t xml:space="preserve">J2 19-22</t>
  </si>
  <si>
    <t xml:space="preserve">Document references / metadata</t>
  </si>
  <si>
    <t xml:space="preserve">Session and interaction: Document upload succeeded</t>
  </si>
  <si>
    <t xml:space="preserve">Command</t>
  </si>
  <si>
    <t xml:space="preserve">J3 18</t>
  </si>
  <si>
    <t xml:space="preserve">Pre-signed URLs; file collection reference; target identifier(s); transaction context</t>
  </si>
  <si>
    <t xml:space="preserve">None (triggers MFT-09)</t>
  </si>
  <si>
    <t xml:space="preserve">J3 21-22</t>
  </si>
  <si>
    <t xml:space="preserve">Success (failure outcome TBC)</t>
  </si>
  <si>
    <t xml:space="preserve">Documents transferred to NRS</t>
  </si>
  <si>
    <t xml:space="preserve">Independent of eDMS</t>
  </si>
  <si>
    <t xml:space="preserve">J3 A.1-A.2</t>
  </si>
  <si>
    <t xml:space="preserve">Attachment acceptance status</t>
  </si>
  <si>
    <t xml:space="preserve">NRS documents accepted</t>
  </si>
  <si>
    <t xml:space="preserve">NRS suggests polling; SDEC prefers event</t>
  </si>
  <si>
    <t xml:space="preserve">J3 25; J1 45</t>
  </si>
  <si>
    <t xml:space="preserve">File collection reference; target identifier(s); transaction context</t>
  </si>
  <si>
    <t xml:space="preserve">None (triggers MFT-10)</t>
  </si>
  <si>
    <t xml:space="preserve">J3 29-30</t>
  </si>
  <si>
    <t xml:space="preserve">Success; eDMS document references (failure outcome TBC)</t>
  </si>
  <si>
    <t xml:space="preserve">Submission completed</t>
  </si>
  <si>
    <t xml:space="preserve">Not dependent on NRS</t>
  </si>
  <si>
    <t xml:space="preserve">Front-end Service (external); Front-end Service (internal)</t>
  </si>
  <si>
    <t xml:space="preserve">J3 31-32</t>
  </si>
  <si>
    <t xml:space="preserve">Interaction status: submitted</t>
  </si>
  <si>
    <t xml:space="preserve">None (drives user notifications)</t>
  </si>
  <si>
    <t xml:space="preserve">File Transfer Manager request queue</t>
  </si>
  <si>
    <t xml:space="preserve">J3 39</t>
  </si>
  <si>
    <t xml:space="preserve">File collection id</t>
  </si>
  <si>
    <t xml:space="preserve">None (triggers MFT-12)</t>
  </si>
  <si>
    <t xml:space="preserve">Gated on EVT-06 and EVT-08</t>
  </si>
  <si>
    <t xml:space="preserve">J3 41-42</t>
  </si>
  <si>
    <t xml:space="preserve">Document: staged files deleted</t>
  </si>
  <si>
    <t xml:space="preserve">Search service (iPaaS); email service; outlook service (internal)</t>
  </si>
  <si>
    <t xml:space="preserve">J1 note</t>
  </si>
  <si>
    <t xml:space="preserve">Replaces confirmation screen</t>
  </si>
  <si>
    <t xml:space="preserve">J3 21, 29, 41</t>
  </si>
  <si>
    <t xml:space="preserve">Error details (TBC)</t>
  </si>
  <si>
    <t xml:space="preserve">Not in source design</t>
  </si>
  <si>
    <t xml:space="preserve">Store</t>
  </si>
  <si>
    <t xml:space="preserve">Purpose</t>
  </si>
  <si>
    <t xml:space="preserve">Retention</t>
  </si>
  <si>
    <t xml:space="preserve">Landing bucket (AWS S3)</t>
  </si>
  <si>
    <t xml:space="preserve">Receives browser uploads via pre-signed URLs</t>
  </si>
  <si>
    <t xml:space="preserve">Until scanned</t>
  </si>
  <si>
    <t xml:space="preserve">Quarantine bucket (AWS S3)</t>
  </si>
  <si>
    <t xml:space="preserve">J2 13</t>
  </si>
  <si>
    <t xml:space="preserve">Infected or invalid files</t>
  </si>
  <si>
    <t xml:space="preserve">TBC (NFR-07)</t>
  </si>
  <si>
    <t xml:space="preserve">Clean staging bucket (AWS S3)</t>
  </si>
  <si>
    <t xml:space="preserve">J2 18; J3 19, 26, 40</t>
  </si>
  <si>
    <t xml:space="preserve">Source for NRS and eDMS transfers</t>
  </si>
  <si>
    <t xml:space="preserve">Until J3 step 40 deletion</t>
  </si>
  <si>
    <t xml:space="preserve">NRS transient storage (AWS S3)</t>
  </si>
  <si>
    <t xml:space="preserve">J3 12, 20</t>
  </si>
  <si>
    <t xml:space="preserve">Submission payload and attachments before signing</t>
  </si>
  <si>
    <t xml:space="preserve">NRS owned</t>
  </si>
  <si>
    <t xml:space="preserve">NRS evidential storage</t>
  </si>
  <si>
    <t xml:space="preserve">J3 24</t>
  </si>
  <si>
    <t xml:space="preserve">Signed payload and attachments</t>
  </si>
  <si>
    <t xml:space="preserve">eDMS document store</t>
  </si>
  <si>
    <t xml:space="preserve">J3 27; J1 45</t>
  </si>
  <si>
    <t xml:space="preserve">Records of submitted and thread documents</t>
  </si>
  <si>
    <t xml:space="preserve">eDMS owned</t>
  </si>
  <si>
    <t xml:space="preserve">SDEC_Thread_Interaction</t>
  </si>
  <si>
    <t xml:space="preserve">J2 9, 17, 22; J3 7</t>
  </si>
  <si>
    <t xml:space="preserve">Thread interaction status</t>
  </si>
  <si>
    <t xml:space="preserve">SDEC owned</t>
  </si>
  <si>
    <t xml:space="preserve">SDEC_Interaction</t>
  </si>
  <si>
    <t xml:space="preserve">J3 14, 22, A.2, 30</t>
  </si>
  <si>
    <t xml:space="preserve">Interaction state, NRS submission id (name differs from SDEC_Thread_Interaction)</t>
  </si>
  <si>
    <t xml:space="preserve">SDEC_Document</t>
  </si>
  <si>
    <t xml:space="preserve">J2 9, 17, 22; J3 7, 22, A.2, 30, 42</t>
  </si>
  <si>
    <t xml:space="preserve">Document records and status</t>
  </si>
  <si>
    <t xml:space="preserve">Session state</t>
  </si>
  <si>
    <t xml:space="preserve">J2 4, 15, 20</t>
  </si>
  <si>
    <t xml:space="preserve">Upload session status</t>
  </si>
  <si>
    <t xml:space="preserve">Session</t>
  </si>
  <si>
    <t xml:space="preserve">Thread details cache</t>
  </si>
  <si>
    <t xml:space="preserve">J1 8, 22, 34</t>
  </si>
  <si>
    <t xml:space="preserve">Draft thread details before submission</t>
  </si>
  <si>
    <t xml:space="preserve">Thread record</t>
  </si>
  <si>
    <t xml:space="preserve">J1 9-11, 42</t>
  </si>
  <si>
    <t xml:space="preserve">Thread entity, technical and business references</t>
  </si>
  <si>
    <t xml:space="preserve">Status values set along the journeys</t>
  </si>
  <si>
    <t xml:space="preserve">Entity</t>
  </si>
  <si>
    <t xml:space="preserve">Set by</t>
  </si>
  <si>
    <t xml:space="preserve">Thread</t>
  </si>
  <si>
    <t xml:space="preserve">Pending thread created</t>
  </si>
  <si>
    <t xml:space="preserve">J1 11</t>
  </si>
  <si>
    <t xml:space="preserve">Draft thread becomes pending</t>
  </si>
  <si>
    <t xml:space="preserve">Thread details updated</t>
  </si>
  <si>
    <t xml:space="preserve">J1 42</t>
  </si>
  <si>
    <t xml:space="preserve">State name after submission TBC (OI-08)</t>
  </si>
  <si>
    <t xml:space="preserve">Upload in progress / Document upload requested</t>
  </si>
  <si>
    <t xml:space="preserve">J2 4</t>
  </si>
  <si>
    <t xml:space="preserve">Interaction / document</t>
  </si>
  <si>
    <t xml:space="preserve">Document upload requested</t>
  </si>
  <si>
    <t xml:space="preserve">J2 9</t>
  </si>
  <si>
    <t xml:space="preserve">SDEC Document records created</t>
  </si>
  <si>
    <t xml:space="preserve">Session / interaction / document</t>
  </si>
  <si>
    <t xml:space="preserve">Document upload failed</t>
  </si>
  <si>
    <t xml:space="preserve">J2 15, 17</t>
  </si>
  <si>
    <t xml:space="preserve">Front end; Thread Manager</t>
  </si>
  <si>
    <t xml:space="preserve">Error details kept</t>
  </si>
  <si>
    <t xml:space="preserve">Document upload succeeded</t>
  </si>
  <si>
    <t xml:space="preserve">J2 20, 22</t>
  </si>
  <si>
    <t xml:space="preserve">Document references kept</t>
  </si>
  <si>
    <t xml:space="preserve">Submission requested</t>
  </si>
  <si>
    <t xml:space="preserve">J3 7</t>
  </si>
  <si>
    <t xml:space="preserve">Signed hash stored</t>
  </si>
  <si>
    <t xml:space="preserve">Interaction</t>
  </si>
  <si>
    <t xml:space="preserve">NRS submission id recorded</t>
  </si>
  <si>
    <t xml:space="preserve">J3 14</t>
  </si>
  <si>
    <t xml:space="preserve">J3 22</t>
  </si>
  <si>
    <t xml:space="preserve">J3 A.2</t>
  </si>
  <si>
    <t xml:space="preserve">Needed for clean-up gate</t>
  </si>
  <si>
    <t xml:space="preserve">J3 30</t>
  </si>
  <si>
    <t xml:space="preserve">Document</t>
  </si>
  <si>
    <t xml:space="preserve">Staged files deleted</t>
  </si>
  <si>
    <t xml:space="preserve">J3 42</t>
  </si>
  <si>
    <t xml:space="preserve">End state</t>
  </si>
  <si>
    <t xml:space="preserve">Phase</t>
  </si>
  <si>
    <t xml:space="preserve">Description</t>
  </si>
  <si>
    <t xml:space="preserve">Target</t>
  </si>
  <si>
    <t xml:space="preserve">Type</t>
  </si>
  <si>
    <t xml:space="preserve">API / endpoint</t>
  </si>
  <si>
    <t xml:space="preserve">Data persistence</t>
  </si>
  <si>
    <t xml:space="preserve">Microservice</t>
  </si>
  <si>
    <t xml:space="preserve">Requirement IDs</t>
  </si>
  <si>
    <t xml:space="preserve">Workspace</t>
  </si>
  <si>
    <t xml:space="preserve">Internal user selects Create Thread</t>
  </si>
  <si>
    <t xml:space="preserve">Browser</t>
  </si>
  <si>
    <t xml:space="preserve">User action</t>
  </si>
  <si>
    <t xml:space="preserve">N/A</t>
  </si>
  <si>
    <t xml:space="preserve">None</t>
  </si>
  <si>
    <t xml:space="preserve">Browser retrieves Contact Detail page</t>
  </si>
  <si>
    <t xml:space="preserve">HTTP</t>
  </si>
  <si>
    <t xml:space="preserve">Page request</t>
  </si>
  <si>
    <t xml:space="preserve">Contact Detail page returned</t>
  </si>
  <si>
    <t xml:space="preserve">Response to 2</t>
  </si>
  <si>
    <t xml:space="preserve">Page</t>
  </si>
  <si>
    <t xml:space="preserve">Contact Detail page displayed</t>
  </si>
  <si>
    <t xml:space="preserve">UI</t>
  </si>
  <si>
    <t xml:space="preserve">Contact details</t>
  </si>
  <si>
    <t xml:space="preserve">Internal user enters contact details (first name, last name, email address, mobile number, NINO)</t>
  </si>
  <si>
    <t xml:space="preserve">6</t>
  </si>
  <si>
    <t xml:space="preserve">Internal user selects Continue</t>
  </si>
  <si>
    <t xml:space="preserve">7</t>
  </si>
  <si>
    <t xml:space="preserve">Save contact detail request</t>
  </si>
  <si>
    <t xml:space="preserve">REST</t>
  </si>
  <si>
    <t xml:space="preserve">8</t>
  </si>
  <si>
    <t xml:space="preserve">Persist contact details (note: add API calls under steps 8 and 9 aligned with external auth documentation)</t>
  </si>
  <si>
    <t xml:space="preserve">Thread details (front end)</t>
  </si>
  <si>
    <t xml:space="preserve">NFR-04, SEC-01</t>
  </si>
  <si>
    <t xml:space="preserve">9</t>
  </si>
  <si>
    <t xml:space="preserve">Create thread request: creates thread entity record (thread in collection)</t>
  </si>
  <si>
    <t xml:space="preserve">Contact details, thread draft</t>
  </si>
  <si>
    <t xml:space="preserve">Thread Service</t>
  </si>
  <si>
    <t xml:space="preserve">INT-01, NFR-04, SEC-01</t>
  </si>
  <si>
    <t xml:space="preserve">10</t>
  </si>
  <si>
    <t xml:space="preserve">Generate thread reference, technical and business facing, at the same time</t>
  </si>
  <si>
    <t xml:space="preserve">Thread reference (technical, business)</t>
  </si>
  <si>
    <t xml:space="preserve">11</t>
  </si>
  <si>
    <t xml:space="preserve">Update state: Pending thread created (draft thread moves to pending status)</t>
  </si>
  <si>
    <t xml:space="preserve">Thread state</t>
  </si>
  <si>
    <t xml:space="preserve">12</t>
  </si>
  <si>
    <t xml:space="preserve">Thread created response (thread reference not passed back here; only at confirmation)</t>
  </si>
  <si>
    <t xml:space="preserve">Response to 9</t>
  </si>
  <si>
    <t xml:space="preserve">Thread created ack</t>
  </si>
  <si>
    <t xml:space="preserve">15</t>
  </si>
  <si>
    <t xml:space="preserve">Send / Request File page returned</t>
  </si>
  <si>
    <t xml:space="preserve">Response to 7</t>
  </si>
  <si>
    <t xml:space="preserve">16</t>
  </si>
  <si>
    <t xml:space="preserve">Send / Request File page displayed</t>
  </si>
  <si>
    <t xml:space="preserve">17</t>
  </si>
  <si>
    <t xml:space="preserve">Send / request file</t>
  </si>
  <si>
    <t xml:space="preserve">Internal user enters thread details: message title, message body</t>
  </si>
  <si>
    <t xml:space="preserve">Message title, message body</t>
  </si>
  <si>
    <t xml:space="preserve">Loop</t>
  </si>
  <si>
    <t xml:space="preserve">For each uploaded file: refer to separate File Upload sequence (file stored in S3)</t>
  </si>
  <si>
    <t xml:space="preserve">File Upload sequence (TBC)</t>
  </si>
  <si>
    <t xml:space="preserve">Document, metadata</t>
  </si>
  <si>
    <t xml:space="preserve">S3 (TBC)</t>
  </si>
  <si>
    <t xml:space="preserve">20</t>
  </si>
  <si>
    <t xml:space="preserve">Thread details</t>
  </si>
  <si>
    <t xml:space="preserve">21</t>
  </si>
  <si>
    <t xml:space="preserve">Save thread detail request</t>
  </si>
  <si>
    <t xml:space="preserve">22</t>
  </si>
  <si>
    <t xml:space="preserve">Thread details cached</t>
  </si>
  <si>
    <t xml:space="preserve">23</t>
  </si>
  <si>
    <t xml:space="preserve">Track number of files and file size validation</t>
  </si>
  <si>
    <t xml:space="preserve">File count, file sizes</t>
  </si>
  <si>
    <t xml:space="preserve">MFT-14, NFR-06</t>
  </si>
  <si>
    <t xml:space="preserve">24</t>
  </si>
  <si>
    <t xml:space="preserve">Check Answers page returned</t>
  </si>
  <si>
    <t xml:space="preserve">Response to 21</t>
  </si>
  <si>
    <t xml:space="preserve">Name, email, address, mobile, NINO, message title, message, uploaded files, response deadline</t>
  </si>
  <si>
    <t xml:space="preserve">27</t>
  </si>
  <si>
    <t xml:space="preserve">Check Answers page displayed</t>
  </si>
  <si>
    <t xml:space="preserve">28</t>
  </si>
  <si>
    <t xml:space="preserve">Check your answers (loop until confirmed)</t>
  </si>
  <si>
    <t xml:space="preserve">Internal user selects a Change link</t>
  </si>
  <si>
    <t xml:space="preserve">29</t>
  </si>
  <si>
    <t xml:space="preserve">Retrieve selected page</t>
  </si>
  <si>
    <t xml:space="preserve">30</t>
  </si>
  <si>
    <t xml:space="preserve">Selected page returned</t>
  </si>
  <si>
    <t xml:space="preserve">Response to 29</t>
  </si>
  <si>
    <t xml:space="preserve">31</t>
  </si>
  <si>
    <t xml:space="preserve">Selected page displayed</t>
  </si>
  <si>
    <t xml:space="preserve">32</t>
  </si>
  <si>
    <t xml:space="preserve">Internal user updates thread details</t>
  </si>
  <si>
    <t xml:space="preserve">33</t>
  </si>
  <si>
    <t xml:space="preserve">34</t>
  </si>
  <si>
    <t xml:space="preserve">35</t>
  </si>
  <si>
    <t xml:space="preserve">Thread details saved response</t>
  </si>
  <si>
    <t xml:space="preserve">Response to 33</t>
  </si>
  <si>
    <t xml:space="preserve">Ack</t>
  </si>
  <si>
    <t xml:space="preserve">36</t>
  </si>
  <si>
    <t xml:space="preserve">Check Answers screen displayed</t>
  </si>
  <si>
    <t xml:space="preserve">39</t>
  </si>
  <si>
    <t xml:space="preserve">Internal user selects Confirm and Send</t>
  </si>
  <si>
    <t xml:space="preserve">40</t>
  </si>
  <si>
    <t xml:space="preserve">Submit thread request</t>
  </si>
  <si>
    <t xml:space="preserve">41</t>
  </si>
  <si>
    <t xml:space="preserve">Submission Service</t>
  </si>
  <si>
    <t xml:space="preserve">42</t>
  </si>
  <si>
    <t xml:space="preserve">Update thread (thread details)</t>
  </si>
  <si>
    <t xml:space="preserve">43</t>
  </si>
  <si>
    <t xml:space="preserve">Thread submission response</t>
  </si>
  <si>
    <t xml:space="preserve">Response to 41</t>
  </si>
  <si>
    <t xml:space="preserve">Submission response</t>
  </si>
  <si>
    <t xml:space="preserve">44</t>
  </si>
  <si>
    <t xml:space="preserve">Response to 40</t>
  </si>
  <si>
    <t xml:space="preserve">45</t>
  </si>
  <si>
    <t xml:space="preserve">Initiate file transfer to eDMS (handoff; state of thread after step 42 to be defined)</t>
  </si>
  <si>
    <t xml:space="preserve">Async (TBC)</t>
  </si>
  <si>
    <t xml:space="preserve">Thread attachments, metadata</t>
  </si>
  <si>
    <t xml:space="preserve">File Transfer Manager (assumed)</t>
  </si>
  <si>
    <t xml:space="preserve">INT-03, MFT-10, EVT-07</t>
  </si>
  <si>
    <t xml:space="preserve">49</t>
  </si>
  <si>
    <t xml:space="preserve">Confirmation screen displayed (note: may be removed; thread reference shown here)</t>
  </si>
  <si>
    <t xml:space="preserve">Thread reference, recipient name, message title, message, response deadline, attached files</t>
  </si>
  <si>
    <t xml:space="preserve">Upload request</t>
  </si>
  <si>
    <t xml:space="preserve">External user selects files to upload</t>
  </si>
  <si>
    <t xml:space="preserve">External user / browser</t>
  </si>
  <si>
    <t xml:space="preserve">User device</t>
  </si>
  <si>
    <t xml:space="preserve">?</t>
  </si>
  <si>
    <t xml:space="preserve">User device returns document list and metadata</t>
  </si>
  <si>
    <t xml:space="preserve">Document metadata: file names, types, sizes</t>
  </si>
  <si>
    <t xml:space="preserve">User requests document upload</t>
  </si>
  <si>
    <t xml:space="preserve">Front-end Service (external) updates session state (Upload in progress)</t>
  </si>
  <si>
    <t xml:space="preserve">Thread / interaction state 'Document upload requested'</t>
  </si>
  <si>
    <t xml:space="preserve">Front-end service calls File Transfer API to request document upload</t>
  </si>
  <si>
    <t xml:space="preserve">Document metadata; thread / interaction metadata ids</t>
  </si>
  <si>
    <t xml:space="preserve">TBC - iPaaS / MFT</t>
  </si>
  <si>
    <t xml:space="preserve">INT-04, MFT-01</t>
  </si>
  <si>
    <t xml:space="preserve">File Transfer Manager determines upload strategy (single / multi-part) and generates pre-signed URLs</t>
  </si>
  <si>
    <t xml:space="preserve">Document metadata</t>
  </si>
  <si>
    <t xml:space="preserve">MFT-02, NFR-04, NFR-06</t>
  </si>
  <si>
    <t xml:space="preserve">File Transfer Manager returns pre-signed URLs</t>
  </si>
  <si>
    <t xml:space="preserve">Response to 5</t>
  </si>
  <si>
    <t xml:space="preserve">File collection id; pre-signed URLs</t>
  </si>
  <si>
    <t xml:space="preserve">INT-04, MFT-01, MFT-13, NFR-01</t>
  </si>
  <si>
    <t xml:space="preserve">Front-end Service (external) publishes a document_upload_requested event</t>
  </si>
  <si>
    <t xml:space="preserve">Front-end Service (external) event publisher</t>
  </si>
  <si>
    <t xml:space="preserve">Thread / interaction state 'Document upload requested'; document metadata</t>
  </si>
  <si>
    <t xml:space="preserve">EVT-01, NFR-03, SEC-06</t>
  </si>
  <si>
    <t xml:space="preserve">Thread Manager updates the Thread Interaction status and creates SDEC Document records</t>
  </si>
  <si>
    <t xml:space="preserve">SDEC_Thread_Interaction, SDEC_Document</t>
  </si>
  <si>
    <t xml:space="preserve">Interaction Service; Document Service / Document Metadata Service</t>
  </si>
  <si>
    <t xml:space="preserve">INT-14, EVT-01</t>
  </si>
  <si>
    <t xml:space="preserve">Front-end Service (external) returns pre-signed URLs to the browser</t>
  </si>
  <si>
    <t xml:space="preserve">Response to 3</t>
  </si>
  <si>
    <t xml:space="preserve">Pre-signed URLs</t>
  </si>
  <si>
    <t xml:space="preserve">Upload</t>
  </si>
  <si>
    <t xml:space="preserve">Browser uploads documents via the pre-signed URLs</t>
  </si>
  <si>
    <t xml:space="preserve">AWS S3</t>
  </si>
  <si>
    <t xml:space="preserve">Documents</t>
  </si>
  <si>
    <t xml:space="preserve">MFT-03, SEC-07</t>
  </si>
  <si>
    <t xml:space="preserve">File Transfer Manager validates / scans documents</t>
  </si>
  <si>
    <t xml:space="preserve">N/A - HIP / iPaaS capability</t>
  </si>
  <si>
    <t xml:space="preserve">MFT-04, NFR-06</t>
  </si>
  <si>
    <t xml:space="preserve">13</t>
  </si>
  <si>
    <t xml:space="preserve">Error: AV / validation failure</t>
  </si>
  <si>
    <t xml:space="preserve">Malware detected: File Transfer Manager moves infected document(s) to quarantine</t>
  </si>
  <si>
    <t xml:space="preserve">MFT-05, NFR-07</t>
  </si>
  <si>
    <t xml:space="preserve">14</t>
  </si>
  <si>
    <t xml:space="preserve">File Transfer Manager publishes a file_upload_failed event (open: any internal user / support notification here?)</t>
  </si>
  <si>
    <t xml:space="preserve">Front-end Service (external) event subscriber; Thread Manager event subscriber</t>
  </si>
  <si>
    <t xml:space="preserve">MFT-07, EVT-02</t>
  </si>
  <si>
    <t xml:space="preserve">Front-end Service (external) updates session state with failure details</t>
  </si>
  <si>
    <t xml:space="preserve">Thread / interaction state 'Document upload failed'; error details</t>
  </si>
  <si>
    <t xml:space="preserve">Front-end Service (external) event subscriber</t>
  </si>
  <si>
    <t xml:space="preserve">Front-end Service (external) notifies external user of failure</t>
  </si>
  <si>
    <t xml:space="preserve">Push notification</t>
  </si>
  <si>
    <t xml:space="preserve">Error details</t>
  </si>
  <si>
    <t xml:space="preserve">Thread Manager updates interaction and document state with failure details</t>
  </si>
  <si>
    <t xml:space="preserve">Thread / interaction state 'Document upload failed'; failure details</t>
  </si>
  <si>
    <t xml:space="preserve">18</t>
  </si>
  <si>
    <t xml:space="preserve">Success</t>
  </si>
  <si>
    <t xml:space="preserve">Documents valid / clean: File Transfer Manager moves documents to clean staging</t>
  </si>
  <si>
    <t xml:space="preserve">19</t>
  </si>
  <si>
    <t xml:space="preserve">File Transfer Manager publishes a file_upload_succeeded event</t>
  </si>
  <si>
    <t xml:space="preserve">MFT-07, EVT-03</t>
  </si>
  <si>
    <t xml:space="preserve">Front-end Service (external) updates session state on successful upload</t>
  </si>
  <si>
    <t xml:space="preserve">Thread / interaction state 'Document upload succeeded'</t>
  </si>
  <si>
    <t xml:space="preserve">Front-end Service (external) notifies external user of upload success</t>
  </si>
  <si>
    <t xml:space="preserve">Upload success message</t>
  </si>
  <si>
    <t xml:space="preserve">Thread Manager updates interaction and document state on upload success</t>
  </si>
  <si>
    <t xml:space="preserve">Thread / interaction state 'Document upload succeeded'; document references</t>
  </si>
  <si>
    <t xml:space="preserve">Submission</t>
  </si>
  <si>
    <t xml:space="preserve">External user clicks submit on their browser</t>
  </si>
  <si>
    <t xml:space="preserve">Browser creates a hash (SHA-256 TBC) of the web form content (signed TBC)</t>
  </si>
  <si>
    <t xml:space="preserve">Browser function</t>
  </si>
  <si>
    <t xml:space="preserve">Submission content</t>
  </si>
  <si>
    <t xml:space="preserve">Browser submits interaction response to Front-end Service (external)</t>
  </si>
  <si>
    <t xml:space="preserve">Submission content, hash</t>
  </si>
  <si>
    <t xml:space="preserve">Front-end Service (external) validates submission content / hash</t>
  </si>
  <si>
    <t xml:space="preserve">Front-end Service (external) signs hash (if not signed in step 3)</t>
  </si>
  <si>
    <t xml:space="preserve">Signed hash</t>
  </si>
  <si>
    <t xml:space="preserve">Front-end Service calls Thread Manager API to initiate submission / crystallisation processing</t>
  </si>
  <si>
    <t xml:space="preserve">Submission content, signed hash</t>
  </si>
  <si>
    <t xml:space="preserve">Interaction Service; Document Service</t>
  </si>
  <si>
    <t xml:space="preserve">Thread Manager updates interaction state (submission requested)</t>
  </si>
  <si>
    <t xml:space="preserve">Submission content, signed hash, interaction status, document status</t>
  </si>
  <si>
    <t xml:space="preserve">INT-05, NFR-05</t>
  </si>
  <si>
    <t xml:space="preserve">Thread Manager returns a synchronous acknowledgement</t>
  </si>
  <si>
    <t xml:space="preserve">REST response</t>
  </si>
  <si>
    <t xml:space="preserve">Response to 6</t>
  </si>
  <si>
    <t xml:space="preserve">Submission confirmation</t>
  </si>
  <si>
    <t xml:space="preserve">Front-end Service returns a synchronous response to the user's browser</t>
  </si>
  <si>
    <t xml:space="preserve">Browser confirms submission to the user</t>
  </si>
  <si>
    <t xml:space="preserve">User notification</t>
  </si>
  <si>
    <t xml:space="preserve">Response to 1</t>
  </si>
  <si>
    <t xml:space="preserve">NRS submission (parallel, non-blocking)</t>
  </si>
  <si>
    <t xml:space="preserve">Thread Manager calls the NRS Submission API with details of the interaction submission and document references</t>
  </si>
  <si>
    <t xml:space="preserve">NRS Submission API (via HIP API Management)</t>
  </si>
  <si>
    <t xml:space="preserve">Signed interaction payload; document (attachment) metadata / references</t>
  </si>
  <si>
    <t xml:space="preserve">INT-06, INT-07, INT-13, INT-14, SEC-05</t>
  </si>
  <si>
    <t xml:space="preserve">NRS Submission service persists the interaction payload to NRS transient storage</t>
  </si>
  <si>
    <t xml:space="preserve">Response to 11</t>
  </si>
  <si>
    <t xml:space="preserve">NRS Submission API returns a submission id to Thread Manager</t>
  </si>
  <si>
    <t xml:space="preserve">NRS submission id</t>
  </si>
  <si>
    <t xml:space="preserve">Interaction Service</t>
  </si>
  <si>
    <t xml:space="preserve">INT-07, NFR-01</t>
  </si>
  <si>
    <t xml:space="preserve">Thread Manager updates interaction state and stores the NRS submission id</t>
  </si>
  <si>
    <t xml:space="preserve">NRS submission id; interaction state</t>
  </si>
  <si>
    <t xml:space="preserve">Thread Manager calls the NRS Attachment API (alternative: File Transfer Manager orchestrates URL request; suggested approach keeps URL control with the process orchestrator)</t>
  </si>
  <si>
    <t xml:space="preserve">NRS Attachment API (via HIP API Management)</t>
  </si>
  <si>
    <t xml:space="preserve">NRS submission id; document metadata</t>
  </si>
  <si>
    <t xml:space="preserve">NRS Attachment Service generates pre-signed URLs (alternative: Submission API returns the URLs in step 13)</t>
  </si>
  <si>
    <t xml:space="preserve">INT-08, NFR-04</t>
  </si>
  <si>
    <t xml:space="preserve">NRS Attachment Service returns pre-signed URLs to Thread Manager</t>
  </si>
  <si>
    <t xml:space="preserve">Response to 15</t>
  </si>
  <si>
    <t xml:space="preserve">Thread Manager sends an asynchronous Request File Transfer message to File Transfer Manager to transfer documents to NRS, passing the pre-signed URLs</t>
  </si>
  <si>
    <t xml:space="preserve">Async</t>
  </si>
  <si>
    <t xml:space="preserve">Pre-signed URLs; file collection reference; target identifier(s); transaction context (thread / interaction metadata)</t>
  </si>
  <si>
    <t xml:space="preserve">MFT-08, MFT-13, EVT-04, NFR-03, SEC-06</t>
  </si>
  <si>
    <t xml:space="preserve">File Transfer Manager uses the pre-signed URLs to upload files to NRS transient storage</t>
  </si>
  <si>
    <t xml:space="preserve">MFT-06, MFT-09, SEC-07</t>
  </si>
  <si>
    <t xml:space="preserve">NRS stores documents in transient storage and performs validation checks</t>
  </si>
  <si>
    <t xml:space="preserve">AWS S3; NRS Attachment Service</t>
  </si>
  <si>
    <t xml:space="preserve">File Transfer Manager publishes a file_transfer_succeeded event informing Thread Manager that transfer to NRS is complete (or has failed)</t>
  </si>
  <si>
    <t xml:space="preserve">Thread Manager event subscriber</t>
  </si>
  <si>
    <t xml:space="preserve">MFT-11, EVT-05, EVT-13</t>
  </si>
  <si>
    <t xml:space="preserve">Thread Manager updates interaction and document status with an NRS transfer completed status (independent of eDMS transfer status)</t>
  </si>
  <si>
    <t xml:space="preserve">Transfer success status</t>
  </si>
  <si>
    <t xml:space="preserve">SDEC_Interaction, SDEC_Document</t>
  </si>
  <si>
    <t xml:space="preserve">INT-13, EVT-05</t>
  </si>
  <si>
    <t xml:space="preserve">A.1</t>
  </si>
  <si>
    <t xml:space="preserve">NRS publishes an attachments_accepted event</t>
  </si>
  <si>
    <t xml:space="preserve">EVT-06, SEC-06</t>
  </si>
  <si>
    <t xml:space="preserve">A.2</t>
  </si>
  <si>
    <t xml:space="preserve">Thread Manager updates interaction and document status with an NRS attachments accepted status</t>
  </si>
  <si>
    <t xml:space="preserve">NRS acceptance status</t>
  </si>
  <si>
    <t xml:space="preserve">NRS signs payload and attachments (sequence diagram only)</t>
  </si>
  <si>
    <t xml:space="preserve">Payload, attachments</t>
  </si>
  <si>
    <t xml:space="preserve">NRS stores signed payload / attachments in NRS evidential storage (sequence diagram only)</t>
  </si>
  <si>
    <t xml:space="preserve">Signed payload, attachments</t>
  </si>
  <si>
    <t xml:space="preserve">25</t>
  </si>
  <si>
    <t xml:space="preserve">eDMS ingestion (parallel)</t>
  </si>
  <si>
    <t xml:space="preserve">Thread Manager sends an asynchronous Request File Transfer message to File Transfer Manager to transfer documents to eDMS</t>
  </si>
  <si>
    <t xml:space="preserve">File collection reference; target identifier(s); transaction context (thread / interaction metadata)</t>
  </si>
  <si>
    <t xml:space="preserve">INT-03, INT-13, MFT-08, MFT-13, EVT-07, NFR-03</t>
  </si>
  <si>
    <t xml:space="preserve">26</t>
  </si>
  <si>
    <t xml:space="preserve">File Transfer Manager sends documents to eDMS</t>
  </si>
  <si>
    <t xml:space="preserve">Documents; document metadata; transaction context</t>
  </si>
  <si>
    <t xml:space="preserve">eDMS (internal structure not described)</t>
  </si>
  <si>
    <t xml:space="preserve">INT-03, INT-11, INT-14, MFT-06, MFT-10, SEC-05</t>
  </si>
  <si>
    <t xml:space="preserve">eDMS validates and stores documents (low level detail not shown)</t>
  </si>
  <si>
    <t xml:space="preserve">eDMS responds to File Transfer Manager (success or failure of transfer)</t>
  </si>
  <si>
    <t xml:space="preserve">Response to 26 (source table says 25)</t>
  </si>
  <si>
    <t xml:space="preserve">Success / failure</t>
  </si>
  <si>
    <t xml:space="preserve">INT-11, MFT-10</t>
  </si>
  <si>
    <t xml:space="preserve">File Transfer Manager publishes a file_transfer_succeeded event informing Thread Manager that ingestion to eDMS is complete (or has failed)</t>
  </si>
  <si>
    <t xml:space="preserve">Success; eDMS document references</t>
  </si>
  <si>
    <t xml:space="preserve">INT-03, MFT-11, EVT-08, EVT-13, NFR-01</t>
  </si>
  <si>
    <t xml:space="preserve">Thread Manager updates thread and document status with Submission Completed (not dependent on NRS submission succeeding)</t>
  </si>
  <si>
    <t xml:space="preserve">Transfer success status; eDMS document</t>
  </si>
  <si>
    <t xml:space="preserve">INT-13, EVT-08, NFR-05</t>
  </si>
  <si>
    <t xml:space="preserve">Thread Manager publishes a Submission completed event; Front-end Service (external) subscribes</t>
  </si>
  <si>
    <t xml:space="preserve">Front-end service (external) event subscriber</t>
  </si>
  <si>
    <t xml:space="preserve">Submission completed event; Front-end Service (internal) subscribes</t>
  </si>
  <si>
    <t xml:space="preserve">Front-end service (internal) event subscriber</t>
  </si>
  <si>
    <t xml:space="preserve">Thread Manager calls the Communication Service to trigger email / SMS notifications to external and internal users</t>
  </si>
  <si>
    <t xml:space="preserve">Notification content</t>
  </si>
  <si>
    <t xml:space="preserve">Communication Service (internal structure not described)</t>
  </si>
  <si>
    <t xml:space="preserve">Front-end Service (external) sends a submission completed notification to the external user's browser</t>
  </si>
  <si>
    <t xml:space="preserve">Notification</t>
  </si>
  <si>
    <t xml:space="preserve">Front-end service (external)</t>
  </si>
  <si>
    <t xml:space="preserve">Browser notifies the external user that their submission has completed</t>
  </si>
  <si>
    <t xml:space="preserve">Front-end Service (internal) notifies the internal user (thread owner) that the external user has submitted a response</t>
  </si>
  <si>
    <t xml:space="preserve">37</t>
  </si>
  <si>
    <t xml:space="preserve">SMS Gateway sends an email and / or SMS to the external user notifying them that their submission has completed</t>
  </si>
  <si>
    <t xml:space="preserve">SMS Gateway</t>
  </si>
  <si>
    <t xml:space="preserve">Email / SMS</t>
  </si>
  <si>
    <t xml:space="preserve">User's email service</t>
  </si>
  <si>
    <t xml:space="preserve">38</t>
  </si>
  <si>
    <t xml:space="preserve">SMS Gateway sends an email to the internal user notifying them that the external user has submitted a response</t>
  </si>
  <si>
    <t xml:space="preserve">Email</t>
  </si>
  <si>
    <t xml:space="preserve">Internal email service</t>
  </si>
  <si>
    <t xml:space="preserve">Clean-up (after eDMS ingestion and NRS acceptance)</t>
  </si>
  <si>
    <t xml:space="preserve">Thread Manager sends a delete_staged_files request to File Transfer Manager</t>
  </si>
  <si>
    <t xml:space="preserve">iPaaS / MFT</t>
  </si>
  <si>
    <t xml:space="preserve">MFT-08, MFT-12, MFT-13, EVT-10, NFR-03, NFR-07</t>
  </si>
  <si>
    <t xml:space="preserve">File Transfer Manager deletes staged files</t>
  </si>
  <si>
    <t xml:space="preserve">iPaaS / MFT; AWS S3</t>
  </si>
  <si>
    <t xml:space="preserve">File Transfer Manager publishes a file_deletion_succeeded event</t>
  </si>
  <si>
    <t xml:space="preserve">MFT-12, MFT-13, EVT-11, EVT-13</t>
  </si>
  <si>
    <t xml:space="preserve">Thread Manager updates document statuses to reflect deletion of staged files</t>
  </si>
  <si>
    <t xml:space="preserve">Document status</t>
  </si>
  <si>
    <t xml:space="preserve">Document Service</t>
  </si>
  <si>
    <t xml:space="preserve">EVT-11, NFR-05</t>
  </si>
  <si>
    <t xml:space="preserve">Item</t>
  </si>
  <si>
    <t xml:space="preserve">Owner role</t>
  </si>
  <si>
    <t xml:space="preserve">Related</t>
  </si>
  <si>
    <t xml:space="preserve">Recommendation</t>
  </si>
  <si>
    <t xml:space="preserve">Decision</t>
  </si>
  <si>
    <t xml:space="preserve">Date</t>
  </si>
  <si>
    <t xml:space="preserve">OI-01</t>
  </si>
  <si>
    <t xml:space="preserve">Technical versus business-facing thread reference. Note proposes generating both at step 10; the reference is returned only at confirmation (not steps 13-14).</t>
  </si>
  <si>
    <t xml:space="preserve">J1 notes</t>
  </si>
  <si>
    <t xml:space="preserve">SDEC solution architect</t>
  </si>
  <si>
    <t xml:space="preserve">Proposed decision</t>
  </si>
  <si>
    <t xml:space="preserve">Accept the note: Thread Manager generates both references at creation; the technical id is the integration key, the business reference is shown to users only at confirmation.</t>
  </si>
  <si>
    <t xml:space="preserve">Add API calls under steps 8 and 9 and align with external auth documentation; add generic pass and response call.</t>
  </si>
  <si>
    <t xml:space="preserve">SDEC MDTP tech lead</t>
  </si>
  <si>
    <t xml:space="preserve">INT-01, NFR-04</t>
  </si>
  <si>
    <t xml:space="preserve">Front end calls carry an OAuth2 client-credentials token issued for HIP API Management plus the user's identity as a signed claim; align with the external auth documentation.</t>
  </si>
  <si>
    <t xml:space="preserve">OI-03</t>
  </si>
  <si>
    <t xml:space="preserve">Orphaned threads when the user leaves the page: database-level clean-up microservice or retention policy change.</t>
  </si>
  <si>
    <t xml:space="preserve">SDEC HCP tech lead</t>
  </si>
  <si>
    <t xml:space="preserve">Thread Manager runs a scheduled purge of threads left in Draft or Pending beyond an agreed age, issues delete_staged_files for their uploads, and the retention policy is updated to match.</t>
  </si>
  <si>
    <t xml:space="preserve">File upload process for Create Thread needs more discussion; separate File Upload sequence not yet provided. Confirm it reuses the J2 pattern.</t>
  </si>
  <si>
    <t xml:space="preserve">HIP MFT lead with SDEC solution architect</t>
  </si>
  <si>
    <t xml:space="preserve">Reuse the Journey 2 upload pattern (API-05 to API-08) with the internal front end as consumer, so one MFT capability serves both journeys.</t>
  </si>
  <si>
    <t xml:space="preserve">OI-05</t>
  </si>
  <si>
    <t xml:space="preserve">Correct endpoints for the iPaaS team and HCP team (steps 40-41).</t>
  </si>
  <si>
    <t xml:space="preserve">HIP integration architect</t>
  </si>
  <si>
    <t xml:space="preserve">Use the endpoints in section 6 of this document as the baseline and confirm them with the iPaaS and HCP teams at design authority.</t>
  </si>
  <si>
    <t xml:space="preserve">OI-06</t>
  </si>
  <si>
    <t xml:space="preserve">When recipient information is stored in HCP: at step 9 or after step 42.</t>
  </si>
  <si>
    <t xml:space="preserve">Store the recipient at thread creation (step 9) so notifications and clean-up have recipient context; update it at step 42 if changed.</t>
  </si>
  <si>
    <t xml:space="preserve">Attributes passed between each sequence step (data contract per interaction).</t>
  </si>
  <si>
    <t xml:space="preserve">SDEC solution architect with HIP integration architect</t>
  </si>
  <si>
    <t xml:space="preserve">Section 6 and 7 give indicative fields; publish them as OpenAPI and AsyncAPI contracts (NFR-02).</t>
  </si>
  <si>
    <t xml:space="preserve">Thread state after step 42 before the eDMS transfer at step 45.</t>
  </si>
  <si>
    <t xml:space="preserve">Define thread states SUBMITTED (after step 42), EDMS_TRANSFER_REQUESTED (after step 45) and EDMS_INGESTED (on success).</t>
  </si>
  <si>
    <t xml:space="preserve">Confirmation screen marked for removal; add thread confirmation event that calls search, email and outlook services.</t>
  </si>
  <si>
    <t xml:space="preserve">SDEC product owner</t>
  </si>
  <si>
    <t xml:space="preserve">Conflict with OI-01: the business reference is meant to be shown on the confirmation page. Keep a minimal confirmation page and add thread_confirmed for the recipient notification.</t>
  </si>
  <si>
    <t xml:space="preserve">Internal user or support notification on upload failure.</t>
  </si>
  <si>
    <t xml:space="preserve">J2 diagram note</t>
  </si>
  <si>
    <t xml:space="preserve">EVT-02, MFT-07</t>
  </si>
  <si>
    <t xml:space="preserve">Send malware failures to a security / support subscriber; do not notify the internal user for routine validation failures.</t>
  </si>
  <si>
    <t xml:space="preserve">OI-11</t>
  </si>
  <si>
    <t xml:space="preserve">Steps 1-2 interaction type shown as '?'. Confirm these are browser-local with no integration.</t>
  </si>
  <si>
    <t xml:space="preserve">J2 table</t>
  </si>
  <si>
    <t xml:space="preserve">Treat steps 1-2 as browser-local; no integration requirement.</t>
  </si>
  <si>
    <t xml:space="preserve">Is NRS dependent on a successful eDMS transfer? Avoid if possible; requires consistent document ids and browser hash / signing.</t>
  </si>
  <si>
    <t xml:space="preserve">J3 diagram note</t>
  </si>
  <si>
    <t xml:space="preserve">NRS service owner with SDEC solution architect</t>
  </si>
  <si>
    <t xml:space="preserve">INT-07, INT-13</t>
  </si>
  <si>
    <t xml:space="preserve">No dependency: both legs read independently from clean staging, using the same document ids issued at upload.</t>
  </si>
  <si>
    <t xml:space="preserve">Do we need end-to-end document ids, or can the submission id be used?</t>
  </si>
  <si>
    <t xml:space="preserve">INT-14, MFT-13</t>
  </si>
  <si>
    <t xml:space="preserve">Use the file id issued by File Transfer Manager at upload as the end-to-end document id; carry the submission id alongside it.</t>
  </si>
  <si>
    <t xml:space="preserve">Hash algorithm (SHA-256 TBC) and where signing happens: browser or Front-end Service (external).</t>
  </si>
  <si>
    <t xml:space="preserve">J3 table</t>
  </si>
  <si>
    <t xml:space="preserve">Security architect</t>
  </si>
  <si>
    <t xml:space="preserve">SHA-256 over canonicalised form content in the browser; Front-end Service signs server-side with a managed key (KMS / HSM) because browsers hold no signing keys.</t>
  </si>
  <si>
    <t xml:space="preserve">Who obtains NRS pre-signed URLs: Thread Manager (suggested), File Transfer Manager, or Submission API returning them at step 13.</t>
  </si>
  <si>
    <t xml:space="preserve">HIP integration architect with NRS service owner</t>
  </si>
  <si>
    <t xml:space="preserve">INT-08, MFT-09</t>
  </si>
  <si>
    <t xml:space="preserve">Thread Manager requests the URLs, as suggested, because it orchestrates; File Transfer Manager only executes; an expired URL triggers a fresh request.</t>
  </si>
  <si>
    <t xml:space="preserve">NRS acceptance notification: asynchronous event (SDEC preference) or polling (NRS suggestion).</t>
  </si>
  <si>
    <t xml:space="preserve">Requirements for NRS</t>
  </si>
  <si>
    <t xml:space="preserve">NRS service owner</t>
  </si>
  <si>
    <t xml:space="preserve">Event via HIP Event Management. If NRS can only offer polling, HIP runs a polling adapter that publishes attachments_accepted, so the SDEC contract stays the same.</t>
  </si>
  <si>
    <t xml:space="preserve">Communication Service endpoint ('Send notification') and response status handling, covered in the communication design.</t>
  </si>
  <si>
    <t xml:space="preserve">J3 table and note</t>
  </si>
  <si>
    <t xml:space="preserve">Communication Service owner</t>
  </si>
  <si>
    <t xml:space="preserve">Communication Service returns 202 with a notification id; delivery status comes back as an event defined in the communication design.</t>
  </si>
  <si>
    <t xml:space="preserve">Failure paths for NRS and eDMS transfers are described as 'or has failed etc' only. Define failure events, retries and Thread Manager states.</t>
  </si>
  <si>
    <t xml:space="preserve">MFT-11, EVT-13</t>
  </si>
  <si>
    <t xml:space="preserve">Define file_transfer_failed with target, reason and retryable flag; File Transfer Manager retries transient failures (for example 3 attempts with exponential backoff), then Thread Manager sets TRANSFER_FAILED and support can replay from the dead-letter queue.</t>
  </si>
  <si>
    <t xml:space="preserve">Do SDEC MDTP to HCP calls (Thread Service, Submission Service, /interaction/submissions) route through HIP API Management or go direct?</t>
  </si>
  <si>
    <t xml:space="preserve">Architect review</t>
  </si>
  <si>
    <t xml:space="preserve">INT-01, INT-02, INT-05</t>
  </si>
  <si>
    <t xml:space="preserve">Route MDTP to HCP calls through HIP API Management for one security, throttling and observability model; decision needed from the design authority.</t>
  </si>
  <si>
    <t xml:space="preserve">Which events and commands use HIP Event Management versus an SDEC internal channel (for example document_upload_requested, submission_completed).</t>
  </si>
  <si>
    <t xml:space="preserve">EVT-01, EVT-09, MFT-08</t>
  </si>
  <si>
    <t xml:space="preserve">Every event that crosses a platform boundary (MDTP, HCP, HIP, NRS) goes through HIP Event Management; events inside one platform may stay local.</t>
  </si>
  <si>
    <t xml:space="preserve">Maximum file size and count versus AV scan ceiling (tracked gap G-15, about 250 MB) and multi-part threshold.</t>
  </si>
  <si>
    <t xml:space="preserve">HIP MFT lead</t>
  </si>
  <si>
    <t xml:space="preserve">MFT-02, MFT-04, NFR-06</t>
  </si>
  <si>
    <t xml:space="preserve">Until G-15 is resolved, cap files below the AV ceiling (for example 200 MB) and reject larger files at API-06 with 413; confirm the multi-part threshold (for example 100 MB).</t>
  </si>
  <si>
    <t xml:space="preserve">Microservice for steps 5-6 shown as 'TBC - iPaaS / MFT'. Confirm HIP owns the File Transfer API.</t>
  </si>
  <si>
    <t xml:space="preserve">MFT-01, INT-04</t>
  </si>
  <si>
    <t xml:space="preserve">HIP owns the File Transfer API, implemented as a Boomi process behind HIP API Management.</t>
  </si>
  <si>
    <t xml:space="preserve">Clean-up gate: what happens to staged files if NRS acceptance or eDMS ingestion never completes.</t>
  </si>
  <si>
    <t xml:space="preserve">HIP MFT lead with SDEC HCP tech lead</t>
  </si>
  <si>
    <t xml:space="preserve">EVT-10, MFT-12, NFR-07</t>
  </si>
  <si>
    <t xml:space="preserve">Keep staged files for an agreed maximum age; alert when a leg has not completed within its target time; on expiry delete with an audit record and set STAGED_FILES_EXPIRED.</t>
  </si>
  <si>
    <t xml:space="preserve">OI-25</t>
  </si>
  <si>
    <t xml:space="preserve">Upload completion is not in the source designs: how File Transfer Manager learns a direct browser upload has finished (single and multi-part), and who completes a multi-part upload.</t>
  </si>
  <si>
    <t xml:space="preserve">MFT-02, MFT-03, MFT-04</t>
  </si>
  <si>
    <t xml:space="preserve">Use the S3 object-created notification on the landing bucket to start scanning; add POST /file_uploads/{fileCollectionId}/files/{fileId}/complete for multi-part completion.</t>
  </si>
  <si>
    <t xml:space="preserve">OI-26</t>
  </si>
  <si>
    <t xml:space="preserve">Technology choices inside HIP: event broker (Boomi Event Streams or the platform broker), pre-signed URL generation (Boomi script with AWS SDK or a small AWS Lambda), AV engine limits, and credential sourcing from enterprise secrets / PAM (tracked gap G-14).</t>
  </si>
  <si>
    <t xml:space="preserve">HIP platform architect</t>
  </si>
  <si>
    <t xml:space="preserve">MFT-02, MFT-04, NFR-04</t>
  </si>
  <si>
    <t xml:space="preserve">Decide at HIP design authority; this document assumes Boomi Event Streams, a Boomi script for URL generation, and credentials from the enterprise secrets store once G-14 is closed.</t>
  </si>
  <si>
    <t xml:space="preserve">Which authorisation server issues app-to-app tokens (enterprise identity provider or HIP API Management), and whether NRS, eDMS and the Communication Service accept its tokens or need tokens from their own authorisation servers.</t>
  </si>
  <si>
    <t xml:space="preserve">Stakeholder security requirement</t>
  </si>
  <si>
    <t xml:space="preserve">Security architect with HIP integration architect</t>
  </si>
  <si>
    <t xml:space="preserve">SEC-01, SEC-02, SEC-05</t>
  </si>
  <si>
    <t xml:space="preserve">Use one enterprise authorisation server for SDEC and HIP clients. For NRS, eDMS and the Communication Service, HIP obtains tokens from whichever authorisation server each back end trusts, configured per target (SEC-05).</t>
  </si>
  <si>
    <t xml:space="preserve">OI-24</t>
  </si>
  <si>
    <t xml:space="preserve">Source inconsistencies: table names SDEC_Interaction and SDEC_Thread_Interaction both used; step 28 marked 'Response to 25' (should be 26); steps 23-24 only on the diagram.</t>
  </si>
  <si>
    <t xml:space="preserve">Correct the source designs: one table name, step 28 responds to step 26, and steps 23-24 added to the table.</t>
  </si>
  <si>
    <t xml:space="preserve">Code</t>
  </si>
  <si>
    <t xml:space="preserve">Coverage</t>
  </si>
  <si>
    <t xml:space="preserve">Create Threads - DRAFT: sequence diagram (Draft) Create Thread - V4</t>
  </si>
  <si>
    <t xml:space="preserve">29 Sep 2026</t>
  </si>
  <si>
    <t xml:space="preserve">Steps 1-49 (gaps in numbering), notes and assumptions</t>
  </si>
  <si>
    <t xml:space="preserve">External User Document Upload - DRAFT: sequence diagram and interaction table</t>
  </si>
  <si>
    <t xml:space="preserve">Undated draft</t>
  </si>
  <si>
    <t xml:space="preserve">Steps 1-22 incl. error and success branches</t>
  </si>
  <si>
    <t xml:space="preserve">(Draft) E2E Crystallisation flow: sequence diagram and interaction table</t>
  </si>
  <si>
    <t xml:space="preserve">18 Sep 2026</t>
  </si>
  <si>
    <t xml:space="preserve">Steps 1-42 plus A.1, A.2; Requirements for NRS</t>
  </si>
  <si>
    <t xml:space="preserve">(Draft) NRS integration detail: HIP component view of J3 steps 11-24</t>
  </si>
  <si>
    <t xml:space="preserve">Shows HIP API Management, Event Management and File Transfer Manager in every NRS interaction</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</si>
</sst>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E2A38"/>
      <name val="Arial"/>
      <family val="0"/>
      <charset val="1"/>
    </font>
    <font>
      <sz val="11"/>
      <color rgb="FF475569"/>
      <name val="Arial"/>
      <family val="0"/>
      <charset val="1"/>
    </font>
    <font>
      <b val="true"/>
      <sz val="10"/>
      <name val="Arial"/>
      <family val="0"/>
      <charset val="1"/>
    </font>
    <font>
      <sz val="10"/>
      <name val="Arial"/>
      <family val="0"/>
      <charset val="1"/>
    </font>
    <font>
      <b val="true"/>
      <sz val="13"/>
      <color rgb="FF1E2A38"/>
      <name val="Arial"/>
      <family val="0"/>
      <charset val="1"/>
    </font>
    <font>
      <b val="true"/>
      <sz val="10"/>
      <color rgb="FFFFFFFF"/>
      <name val="Arial"/>
      <family val="0"/>
      <charset val="1"/>
    </font>
    <font>
      <i val="true"/>
      <sz val="9"/>
      <color rgb="FF475569"/>
      <name val="Arial"/>
      <family val="0"/>
      <charset val="1"/>
    </font>
    <font>
      <i val="true"/>
      <sz val="9"/>
      <name val="Arial"/>
      <family val="0"/>
      <charset val="1"/>
    </font>
    <font>
      <b val="true"/>
      <sz val="12"/>
      <color rgb="FF1E2A38"/>
      <name val="Arial"/>
      <family val="0"/>
      <charset val="1"/>
    </font>
    <font>
      <sz val="9"/>
      <name val="Courier New"/>
      <family val="0"/>
      <charset val="1"/>
    </font>
  </fonts>
  <fills count="9">
    <fill>
      <patternFill patternType="none"/>
    </fill>
    <fill>
      <patternFill patternType="gray125"/>
    </fill>
    <fill>
      <patternFill patternType="solid">
        <fgColor rgb="FF1E2A38"/>
        <bgColor rgb="FF333300"/>
      </patternFill>
    </fill>
    <fill>
      <patternFill patternType="solid">
        <fgColor rgb="FFDCEAF6"/>
        <bgColor rgb="FFE9E4F5"/>
      </patternFill>
    </fill>
    <fill>
      <patternFill patternType="solid">
        <fgColor rgb="FFFFF7CC"/>
        <bgColor rgb="FFFCE8D8"/>
      </patternFill>
    </fill>
    <fill>
      <patternFill patternType="solid">
        <fgColor rgb="FFFCE8D8"/>
        <bgColor rgb="FFFDE7D3"/>
      </patternFill>
    </fill>
    <fill>
      <patternFill patternType="solid">
        <fgColor rgb="FFFDE7D3"/>
        <bgColor rgb="FFFCE8D8"/>
      </patternFill>
    </fill>
    <fill>
      <patternFill patternType="solid">
        <fgColor rgb="FFE9E4F5"/>
        <bgColor rgb="FFDCEAF6"/>
      </patternFill>
    </fill>
    <fill>
      <patternFill patternType="solid">
        <fgColor rgb="FFFBE0E0"/>
        <bgColor rgb="FFFCE8D8"/>
      </patternFill>
    </fill>
  </fills>
  <borders count="2">
    <border diagonalUp="false" diagonalDown="false">
      <left/>
      <right/>
      <top/>
      <bottom/>
      <diagonal/>
    </border>
    <border diagonalUp="false" diagonalDown="false">
      <left style="thin">
        <color rgb="FFCBD5E1"/>
      </left>
      <right style="thin">
        <color rgb="FFCBD5E1"/>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E2A38"/>
          <bgColor rgb="FF000000"/>
        </patternFill>
      </fill>
    </dxf>
    <dxf>
      <fill>
        <patternFill patternType="solid">
          <bgColor rgb="FF000000"/>
        </patternFill>
      </fill>
    </dxf>
    <dxf>
      <fill>
        <patternFill patternType="solid">
          <fgColor rgb="FFFFFFFF"/>
          <bgColor rgb="FF000000"/>
        </patternFill>
      </fill>
    </dxf>
    <dxf>
      <fill>
        <patternFill patternType="solid">
          <fgColor rgb="FFDCEAF6"/>
          <bgColor rgb="FF000000"/>
        </patternFill>
      </fill>
    </dxf>
    <dxf>
      <fill>
        <patternFill patternType="solid">
          <fgColor rgb="FFE9E4F5"/>
          <bgColor rgb="FF000000"/>
        </patternFill>
      </fill>
    </dxf>
    <dxf>
      <fill>
        <patternFill patternType="solid">
          <fgColor rgb="FFFBE0E0"/>
          <bgColor rgb="FF000000"/>
        </patternFill>
      </fill>
    </dxf>
    <dxf>
      <fill>
        <patternFill patternType="solid">
          <fgColor rgb="FFFCE8D8"/>
          <bgColor rgb="FF000000"/>
        </patternFill>
      </fill>
    </dxf>
    <dxf>
      <fill>
        <patternFill patternType="solid">
          <fgColor rgb="FFFDE7D3"/>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CC"/>
      <rgbColor rgb="FFDCEAF6"/>
      <rgbColor rgb="FF660066"/>
      <rgbColor rgb="FFFF8080"/>
      <rgbColor rgb="FF0066CC"/>
      <rgbColor rgb="FFCBD5E1"/>
      <rgbColor rgb="FF000080"/>
      <rgbColor rgb="FFFF00FF"/>
      <rgbColor rgb="FFFFFF00"/>
      <rgbColor rgb="FF00FFFF"/>
      <rgbColor rgb="FF800080"/>
      <rgbColor rgb="FF800000"/>
      <rgbColor rgb="FF008080"/>
      <rgbColor rgb="FF0000FF"/>
      <rgbColor rgb="FF00CCFF"/>
      <rgbColor rgb="FFE9E4F5"/>
      <rgbColor rgb="FFFCE8D8"/>
      <rgbColor rgb="FFFDE7D3"/>
      <rgbColor rgb="FF99CCFF"/>
      <rgbColor rgb="FFFF99CC"/>
      <rgbColor rgb="FFCC99FF"/>
      <rgbColor rgb="FFFBE0E0"/>
      <rgbColor rgb="FF3366FF"/>
      <rgbColor rgb="FF33CCCC"/>
      <rgbColor rgb="FF99CC00"/>
      <rgbColor rgb="FFFFCC00"/>
      <rgbColor rgb="FFFF9900"/>
      <rgbColor rgb="FFFF6600"/>
      <rgbColor rgb="FF475569"/>
      <rgbColor rgb="FF969696"/>
      <rgbColor rgb="FF003366"/>
      <rgbColor rgb="FF339966"/>
      <rgbColor rgb="FF003300"/>
      <rgbColor rgb="FF333300"/>
      <rgbColor rgb="FF993300"/>
      <rgbColor rgb="FF993366"/>
      <rgbColor rgb="FF333399"/>
      <rgbColor rgb="FF1E2A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15" hidden="false" customHeight="false" outlineLevel="0" collapsed="false">
      <c r="A4" s="4"/>
    </row>
    <row r="5" customFormat="false" ht="15" hidden="false" customHeight="false" outlineLevel="0" collapsed="false">
      <c r="A5" s="3" t="s">
        <v>3</v>
      </c>
    </row>
    <row r="6" customFormat="false" ht="15" hidden="false" customHeight="false" outlineLevel="0" collapsed="false">
      <c r="A6" s="4" t="s">
        <v>4</v>
      </c>
      <c r="B6" s="5" t="s">
        <v>5</v>
      </c>
    </row>
    <row r="7" customFormat="false" ht="23.85" hidden="false" customHeight="false" outlineLevel="0" collapsed="false">
      <c r="A7" s="4" t="s">
        <v>6</v>
      </c>
      <c r="B7" s="5" t="s">
        <v>7</v>
      </c>
    </row>
    <row r="8" customFormat="false" ht="23.85" hidden="false" customHeight="false" outlineLevel="0" collapsed="false">
      <c r="A8" s="4" t="s">
        <v>8</v>
      </c>
      <c r="B8" s="5" t="s">
        <v>9</v>
      </c>
    </row>
    <row r="9" customFormat="false" ht="23.85" hidden="false" customHeight="false" outlineLevel="0" collapsed="false">
      <c r="A9" s="4" t="s">
        <v>10</v>
      </c>
      <c r="B9" s="5" t="s">
        <v>11</v>
      </c>
    </row>
    <row r="10" customFormat="false" ht="15" hidden="false" customHeight="false" outlineLevel="0" collapsed="false">
      <c r="A10" s="4" t="s">
        <v>12</v>
      </c>
      <c r="B10" s="5" t="s">
        <v>13</v>
      </c>
    </row>
    <row r="11" customFormat="false" ht="15" hidden="false" customHeight="false" outlineLevel="0" collapsed="false">
      <c r="A11" s="4"/>
    </row>
    <row r="12" customFormat="false" ht="15" hidden="false" customHeight="false" outlineLevel="0" collapsed="false">
      <c r="A12" s="3" t="s">
        <v>14</v>
      </c>
    </row>
    <row r="13" customFormat="false" ht="15" hidden="false" customHeight="false" outlineLevel="0" collapsed="false">
      <c r="A13" s="4" t="s">
        <v>15</v>
      </c>
      <c r="B13" s="5" t="s">
        <v>16</v>
      </c>
    </row>
    <row r="14" customFormat="false" ht="15" hidden="false" customHeight="false" outlineLevel="0" collapsed="false">
      <c r="A14" s="4" t="s">
        <v>17</v>
      </c>
      <c r="B14" s="5" t="s">
        <v>18</v>
      </c>
    </row>
    <row r="15" customFormat="false" ht="15" hidden="false" customHeight="false" outlineLevel="0" collapsed="false">
      <c r="A15" s="4" t="s">
        <v>19</v>
      </c>
      <c r="B15" s="5" t="s">
        <v>20</v>
      </c>
    </row>
    <row r="16" customFormat="false" ht="15" hidden="false" customHeight="false" outlineLevel="0" collapsed="false">
      <c r="A16" s="4" t="s">
        <v>21</v>
      </c>
      <c r="B16" s="5" t="s">
        <v>22</v>
      </c>
    </row>
    <row r="17" customFormat="false" ht="15" hidden="false" customHeight="false" outlineLevel="0" collapsed="false">
      <c r="A17" s="4" t="s">
        <v>23</v>
      </c>
      <c r="B17" s="5" t="s">
        <v>24</v>
      </c>
    </row>
    <row r="18" customFormat="false" ht="15" hidden="false" customHeight="false" outlineLevel="0" collapsed="false">
      <c r="A18" s="4" t="s">
        <v>25</v>
      </c>
      <c r="B18" s="5" t="s">
        <v>26</v>
      </c>
    </row>
    <row r="19" customFormat="false" ht="15" hidden="false" customHeight="false" outlineLevel="0" collapsed="false">
      <c r="A19" s="4" t="s">
        <v>27</v>
      </c>
      <c r="B19" s="5" t="s">
        <v>28</v>
      </c>
    </row>
    <row r="20" customFormat="false" ht="15" hidden="false" customHeight="false" outlineLevel="0" collapsed="false">
      <c r="A20" s="4" t="s">
        <v>29</v>
      </c>
      <c r="B20" s="5" t="s">
        <v>30</v>
      </c>
    </row>
    <row r="21" customFormat="false" ht="15" hidden="false" customHeight="false" outlineLevel="0" collapsed="false">
      <c r="A21" s="4" t="s">
        <v>31</v>
      </c>
      <c r="B21" s="5" t="s">
        <v>32</v>
      </c>
    </row>
    <row r="22" customFormat="false" ht="15" hidden="false" customHeight="false" outlineLevel="0" collapsed="false">
      <c r="A22" s="4" t="s">
        <v>33</v>
      </c>
      <c r="B22" s="5" t="s">
        <v>34</v>
      </c>
    </row>
    <row r="23" customFormat="false" ht="15" hidden="false" customHeight="false" outlineLevel="0" collapsed="false">
      <c r="A23" s="4" t="s">
        <v>35</v>
      </c>
      <c r="B23" s="5" t="s">
        <v>36</v>
      </c>
    </row>
    <row r="24" customFormat="false" ht="23.85" hidden="false" customHeight="false" outlineLevel="0" collapsed="false">
      <c r="A24" s="4" t="s">
        <v>37</v>
      </c>
      <c r="B24" s="5" t="s">
        <v>38</v>
      </c>
    </row>
    <row r="25" customFormat="false" ht="15" hidden="false" customHeight="false" outlineLevel="0" collapsed="false">
      <c r="A25" s="4"/>
    </row>
    <row r="26" customFormat="false" ht="15" hidden="false" customHeight="false" outlineLevel="0" collapsed="false">
      <c r="A26" s="3" t="s">
        <v>39</v>
      </c>
    </row>
    <row r="27" customFormat="false" ht="23.85" hidden="false" customHeight="false" outlineLevel="0" collapsed="false">
      <c r="A27" s="4" t="s">
        <v>40</v>
      </c>
      <c r="B27" s="5" t="s">
        <v>41</v>
      </c>
    </row>
    <row r="28" customFormat="false" ht="15" hidden="false" customHeight="false" outlineLevel="0" collapsed="false">
      <c r="A28" s="4" t="s">
        <v>42</v>
      </c>
      <c r="B28" s="5" t="s">
        <v>43</v>
      </c>
    </row>
    <row r="29" customFormat="false" ht="23.85" hidden="false" customHeight="false" outlineLevel="0" collapsed="false">
      <c r="A29" s="4" t="s">
        <v>44</v>
      </c>
      <c r="B29" s="5" t="s">
        <v>45</v>
      </c>
    </row>
    <row r="30" customFormat="false" ht="15" hidden="false" customHeight="false" outlineLevel="0" collapsed="false">
      <c r="A30" s="4" t="s">
        <v>46</v>
      </c>
      <c r="B30" s="5" t="s">
        <v>47</v>
      </c>
    </row>
    <row r="31" customFormat="false" ht="23.85" hidden="false" customHeight="false" outlineLevel="0" collapsed="false">
      <c r="A31" s="4" t="s">
        <v>48</v>
      </c>
      <c r="B31" s="5"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8" min="2" style="0" width="16"/>
  </cols>
  <sheetData>
    <row r="1" customFormat="false" ht="16.15" hidden="false" customHeight="false" outlineLevel="0" collapsed="false">
      <c r="A1" s="6" t="s">
        <v>50</v>
      </c>
    </row>
    <row r="3" customFormat="false" ht="23.85" hidden="false" customHeight="false" outlineLevel="0" collapsed="false">
      <c r="A3" s="7" t="s">
        <v>51</v>
      </c>
      <c r="B3" s="7" t="s">
        <v>52</v>
      </c>
      <c r="C3" s="7" t="s">
        <v>53</v>
      </c>
      <c r="D3" s="7" t="s">
        <v>54</v>
      </c>
      <c r="E3" s="7" t="s">
        <v>55</v>
      </c>
      <c r="F3" s="7" t="s">
        <v>56</v>
      </c>
      <c r="G3" s="7" t="s">
        <v>57</v>
      </c>
      <c r="H3" s="7" t="s">
        <v>58</v>
      </c>
    </row>
    <row r="4" customFormat="false" ht="15" hidden="false" customHeight="false" outlineLevel="0" collapsed="false">
      <c r="A4" s="8" t="s">
        <v>59</v>
      </c>
      <c r="B4" s="8" t="n">
        <f aca="false">COUNTIFS(Requirements!$B$2:$B$57,$A4,Requirements!$L$2:$L$57,B$3)</f>
        <v>10</v>
      </c>
      <c r="C4" s="8" t="n">
        <f aca="false">COUNTIFS(Requirements!$B$2:$B$57,$A4,Requirements!$L$2:$L$57,C$3)</f>
        <v>1</v>
      </c>
      <c r="D4" s="8" t="n">
        <f aca="false">COUNTIFS(Requirements!$B$2:$B$57,$A4,Requirements!$L$2:$L$57,D$3)</f>
        <v>2</v>
      </c>
      <c r="E4" s="8" t="n">
        <f aca="false">COUNTIFS(Requirements!$B$2:$B$57,$A4,Requirements!$L$2:$L$57,E$3)</f>
        <v>1</v>
      </c>
      <c r="F4" s="8" t="n">
        <f aca="false">COUNTIFS(Requirements!$B$2:$B$57,$A4,Requirements!$L$2:$L$57,F$3)</f>
        <v>0</v>
      </c>
      <c r="G4" s="8" t="n">
        <f aca="false">COUNTIFS(Requirements!$B$2:$B$57,$A4,Requirements!$L$2:$L$57,G$3)</f>
        <v>0</v>
      </c>
      <c r="H4" s="8" t="n">
        <f aca="false">SUM(B4:G4)</f>
        <v>14</v>
      </c>
    </row>
    <row r="5" customFormat="false" ht="15" hidden="false" customHeight="false" outlineLevel="0" collapsed="false">
      <c r="A5" s="8" t="s">
        <v>60</v>
      </c>
      <c r="B5" s="8" t="n">
        <f aca="false">COUNTIFS(Requirements!$B$2:$B$57,$A5,Requirements!$L$2:$L$57,B$3)</f>
        <v>13</v>
      </c>
      <c r="C5" s="8" t="n">
        <f aca="false">COUNTIFS(Requirements!$B$2:$B$57,$A5,Requirements!$L$2:$L$57,C$3)</f>
        <v>0</v>
      </c>
      <c r="D5" s="8" t="n">
        <f aca="false">COUNTIFS(Requirements!$B$2:$B$57,$A5,Requirements!$L$2:$L$57,D$3)</f>
        <v>0</v>
      </c>
      <c r="E5" s="8" t="n">
        <f aca="false">COUNTIFS(Requirements!$B$2:$B$57,$A5,Requirements!$L$2:$L$57,E$3)</f>
        <v>0</v>
      </c>
      <c r="F5" s="8" t="n">
        <f aca="false">COUNTIFS(Requirements!$B$2:$B$57,$A5,Requirements!$L$2:$L$57,F$3)</f>
        <v>1</v>
      </c>
      <c r="G5" s="8" t="n">
        <f aca="false">COUNTIFS(Requirements!$B$2:$B$57,$A5,Requirements!$L$2:$L$57,G$3)</f>
        <v>0</v>
      </c>
      <c r="H5" s="8" t="n">
        <f aca="false">SUM(B5:G5)</f>
        <v>14</v>
      </c>
    </row>
    <row r="6" customFormat="false" ht="15" hidden="false" customHeight="false" outlineLevel="0" collapsed="false">
      <c r="A6" s="8" t="s">
        <v>61</v>
      </c>
      <c r="B6" s="8" t="n">
        <f aca="false">COUNTIFS(Requirements!$B$2:$B$57,$A6,Requirements!$L$2:$L$57,B$3)</f>
        <v>10</v>
      </c>
      <c r="C6" s="8" t="n">
        <f aca="false">COUNTIFS(Requirements!$B$2:$B$57,$A6,Requirements!$L$2:$L$57,C$3)</f>
        <v>0</v>
      </c>
      <c r="D6" s="8" t="n">
        <f aca="false">COUNTIFS(Requirements!$B$2:$B$57,$A6,Requirements!$L$2:$L$57,D$3)</f>
        <v>0</v>
      </c>
      <c r="E6" s="8" t="n">
        <f aca="false">COUNTIFS(Requirements!$B$2:$B$57,$A6,Requirements!$L$2:$L$57,E$3)</f>
        <v>1</v>
      </c>
      <c r="F6" s="8" t="n">
        <f aca="false">COUNTIFS(Requirements!$B$2:$B$57,$A6,Requirements!$L$2:$L$57,F$3)</f>
        <v>0</v>
      </c>
      <c r="G6" s="8" t="n">
        <f aca="false">COUNTIFS(Requirements!$B$2:$B$57,$A6,Requirements!$L$2:$L$57,G$3)</f>
        <v>2</v>
      </c>
      <c r="H6" s="8" t="n">
        <f aca="false">SUM(B6:G6)</f>
        <v>13</v>
      </c>
    </row>
    <row r="7" customFormat="false" ht="15" hidden="false" customHeight="false" outlineLevel="0" collapsed="false">
      <c r="A7" s="8" t="s">
        <v>62</v>
      </c>
      <c r="B7" s="8" t="n">
        <f aca="false">COUNTIFS(Requirements!$B$2:$B$57,$A7,Requirements!$L$2:$L$57,B$3)</f>
        <v>0</v>
      </c>
      <c r="C7" s="8" t="n">
        <f aca="false">COUNTIFS(Requirements!$B$2:$B$57,$A7,Requirements!$L$2:$L$57,C$3)</f>
        <v>0</v>
      </c>
      <c r="D7" s="8" t="n">
        <f aca="false">COUNTIFS(Requirements!$B$2:$B$57,$A7,Requirements!$L$2:$L$57,D$3)</f>
        <v>0</v>
      </c>
      <c r="E7" s="8" t="n">
        <f aca="false">COUNTIFS(Requirements!$B$2:$B$57,$A7,Requirements!$L$2:$L$57,E$3)</f>
        <v>0</v>
      </c>
      <c r="F7" s="8" t="n">
        <f aca="false">COUNTIFS(Requirements!$B$2:$B$57,$A7,Requirements!$L$2:$L$57,F$3)</f>
        <v>0</v>
      </c>
      <c r="G7" s="8" t="n">
        <f aca="false">COUNTIFS(Requirements!$B$2:$B$57,$A7,Requirements!$L$2:$L$57,G$3)</f>
        <v>8</v>
      </c>
      <c r="H7" s="8" t="n">
        <f aca="false">SUM(B7:G7)</f>
        <v>8</v>
      </c>
    </row>
    <row r="8" customFormat="false" ht="15" hidden="false" customHeight="false" outlineLevel="0" collapsed="false">
      <c r="A8" s="8" t="s">
        <v>31</v>
      </c>
      <c r="B8" s="8" t="n">
        <f aca="false">COUNTIFS(Requirements!$B$2:$B$57,$A8,Requirements!$L$2:$L$57,B$3)</f>
        <v>7</v>
      </c>
      <c r="C8" s="8" t="n">
        <f aca="false">COUNTIFS(Requirements!$B$2:$B$57,$A8,Requirements!$L$2:$L$57,C$3)</f>
        <v>0</v>
      </c>
      <c r="D8" s="8" t="n">
        <f aca="false">COUNTIFS(Requirements!$B$2:$B$57,$A8,Requirements!$L$2:$L$57,D$3)</f>
        <v>0</v>
      </c>
      <c r="E8" s="8" t="n">
        <f aca="false">COUNTIFS(Requirements!$B$2:$B$57,$A8,Requirements!$L$2:$L$57,E$3)</f>
        <v>0</v>
      </c>
      <c r="F8" s="8" t="n">
        <f aca="false">COUNTIFS(Requirements!$B$2:$B$57,$A8,Requirements!$L$2:$L$57,F$3)</f>
        <v>0</v>
      </c>
      <c r="G8" s="8" t="n">
        <f aca="false">COUNTIFS(Requirements!$B$2:$B$57,$A8,Requirements!$L$2:$L$57,G$3)</f>
        <v>0</v>
      </c>
      <c r="H8" s="8" t="n">
        <f aca="false">SUM(B8:G8)</f>
        <v>7</v>
      </c>
    </row>
    <row r="9" customFormat="false" ht="15" hidden="false" customHeight="false" outlineLevel="0" collapsed="false">
      <c r="A9" s="9" t="s">
        <v>58</v>
      </c>
      <c r="B9" s="9" t="n">
        <f aca="false">SUM(B4:B8)</f>
        <v>40</v>
      </c>
      <c r="C9" s="9" t="n">
        <f aca="false">SUM(C4:C8)</f>
        <v>1</v>
      </c>
      <c r="D9" s="9" t="n">
        <f aca="false">SUM(D4:D8)</f>
        <v>2</v>
      </c>
      <c r="E9" s="9" t="n">
        <f aca="false">SUM(E4:E8)</f>
        <v>2</v>
      </c>
      <c r="F9" s="9" t="n">
        <f aca="false">SUM(F4:F8)</f>
        <v>1</v>
      </c>
      <c r="G9" s="9" t="n">
        <f aca="false">SUM(G4:G8)</f>
        <v>10</v>
      </c>
      <c r="H9" s="9" t="n">
        <f aca="false">SUM(H4:H8)</f>
        <v>56</v>
      </c>
    </row>
    <row r="10" customFormat="false" ht="15" hidden="false" customHeight="false" outlineLevel="0" collapsed="false">
      <c r="A10" s="10" t="s">
        <v>63</v>
      </c>
      <c r="H10" s="11" t="str">
        <f aca="false">IF(H9=COUNTA(Requirements!$A$2:$A$57),"OK","Mismatch")</f>
        <v>OK</v>
      </c>
    </row>
    <row r="12" customFormat="false" ht="16.15" hidden="false" customHeight="false" outlineLevel="0" collapsed="false">
      <c r="A12" s="6" t="s">
        <v>64</v>
      </c>
    </row>
    <row r="13" customFormat="false" ht="15" hidden="false" customHeight="false" outlineLevel="0" collapsed="false">
      <c r="A13" s="12" t="s">
        <v>65</v>
      </c>
      <c r="B13" s="12" t="s">
        <v>19</v>
      </c>
      <c r="C13" s="12" t="s">
        <v>66</v>
      </c>
    </row>
    <row r="14" customFormat="false" ht="15" hidden="false" customHeight="false" outlineLevel="0" collapsed="false">
      <c r="A14" s="8" t="s">
        <v>67</v>
      </c>
      <c r="B14" s="8" t="n">
        <f aca="false">COUNTIFS(Requirements!$J$2:$J$57,"*NRS*")</f>
        <v>15</v>
      </c>
      <c r="C14" s="8" t="n">
        <f aca="false">COUNTIFS(Requirements!$J$2:$J$57,"*NRS*",Requirements!$K$2:$K$57,"Must")</f>
        <v>15</v>
      </c>
    </row>
    <row r="15" customFormat="false" ht="15" hidden="false" customHeight="false" outlineLevel="0" collapsed="false">
      <c r="A15" s="8" t="s">
        <v>68</v>
      </c>
      <c r="B15" s="8" t="n">
        <f aca="false">COUNTIFS(Requirements!$J$2:$J$57,"*eDMS*")</f>
        <v>10</v>
      </c>
      <c r="C15" s="8" t="n">
        <f aca="false">COUNTIFS(Requirements!$J$2:$J$57,"*eDMS*",Requirements!$K$2:$K$57,"Must")</f>
        <v>10</v>
      </c>
    </row>
    <row r="16" customFormat="false" ht="15" hidden="false" customHeight="false" outlineLevel="0" collapsed="false">
      <c r="A16" s="8" t="s">
        <v>69</v>
      </c>
      <c r="B16" s="8" t="n">
        <f aca="false">COUNTIFS(Requirements!$J$2:$J$57,"*HIP*")</f>
        <v>17</v>
      </c>
      <c r="C16" s="8" t="n">
        <f aca="false">COUNTIFS(Requirements!$J$2:$J$57,"*HIP*",Requirements!$K$2:$K$57,"Must")</f>
        <v>17</v>
      </c>
    </row>
    <row r="17" customFormat="false" ht="15" hidden="false" customHeight="false" outlineLevel="0" collapsed="false">
      <c r="A17" s="8" t="s">
        <v>70</v>
      </c>
      <c r="B17" s="8" t="n">
        <f aca="false">COUNTIFS(Requirements!$J$2:$J$57,"*SDEC HCP*")</f>
        <v>4</v>
      </c>
      <c r="C17" s="8" t="n">
        <f aca="false">COUNTIFS(Requirements!$J$2:$J$57,"*SDEC HCP*",Requirements!$K$2:$K$57,"Must")</f>
        <v>4</v>
      </c>
    </row>
    <row r="18" customFormat="false" ht="15" hidden="false" customHeight="false" outlineLevel="0" collapsed="false">
      <c r="A18" s="8" t="s">
        <v>71</v>
      </c>
      <c r="B18" s="8" t="n">
        <f aca="false">COUNTIFS(Requirements!$J$2:$J$57,"SDEC")</f>
        <v>3</v>
      </c>
      <c r="C18" s="8" t="n">
        <f aca="false">COUNTIFS(Requirements!$J$2:$J$57,"SDEC",Requirements!$K$2:$K$57,"Must")</f>
        <v>3</v>
      </c>
    </row>
    <row r="19" customFormat="false" ht="15" hidden="false" customHeight="false" outlineLevel="0" collapsed="false">
      <c r="A19" s="8" t="s">
        <v>72</v>
      </c>
      <c r="B19" s="8" t="n">
        <f aca="false">COUNTIFS(Requirements!$J$2:$J$57,"*Communication Service*")</f>
        <v>3</v>
      </c>
      <c r="C19" s="8" t="n">
        <f aca="false">COUNTIFS(Requirements!$J$2:$J$57,"*Communication Service*",Requirements!$K$2:$K$57,"Must")</f>
        <v>2</v>
      </c>
    </row>
    <row r="20" customFormat="false" ht="15" hidden="false" customHeight="false" outlineLevel="0" collapsed="false">
      <c r="A20" s="8" t="s">
        <v>73</v>
      </c>
      <c r="B20" s="8" t="n">
        <f aca="false">COUNTIFS(Requirements!$J$2:$J$57,"All")</f>
        <v>12</v>
      </c>
      <c r="C20" s="8" t="n">
        <f aca="false">COUNTIFS(Requirements!$J$2:$J$57,"All",Requirements!$K$2:$K$57,"Must")</f>
        <v>12</v>
      </c>
    </row>
    <row r="21" customFormat="false" ht="15" hidden="false" customHeight="false" outlineLevel="0" collapsed="false">
      <c r="A21" s="10" t="s">
        <v>74</v>
      </c>
    </row>
    <row r="24" customFormat="false" ht="16.15" hidden="false" customHeight="false" outlineLevel="0" collapsed="false">
      <c r="A24" s="6" t="s">
        <v>75</v>
      </c>
    </row>
    <row r="25" customFormat="false" ht="15" hidden="false" customHeight="false" outlineLevel="0" collapsed="false">
      <c r="A25" s="12" t="s">
        <v>76</v>
      </c>
      <c r="B25" s="12" t="s">
        <v>55</v>
      </c>
      <c r="C25" s="12" t="s">
        <v>77</v>
      </c>
    </row>
    <row r="26" customFormat="false" ht="15" hidden="false" customHeight="false" outlineLevel="0" collapsed="false">
      <c r="A26" s="8" t="s">
        <v>78</v>
      </c>
      <c r="B26" s="8" t="n">
        <f aca="false">COUNTIFS('Open Items'!$B$2:$B$28,$A26,'Open Items'!$G$2:$G$28,"Open")</f>
        <v>7</v>
      </c>
      <c r="C26" s="8" t="n">
        <f aca="false">COUNTIFS('Open Items'!$B$2:$B$28,$A26)</f>
        <v>8</v>
      </c>
    </row>
    <row r="27" customFormat="false" ht="15" hidden="false" customHeight="false" outlineLevel="0" collapsed="false">
      <c r="A27" s="8" t="s">
        <v>79</v>
      </c>
      <c r="B27" s="8" t="n">
        <f aca="false">COUNTIFS('Open Items'!$B$2:$B$28,$A27,'Open Items'!$G$2:$G$28,"Open")</f>
        <v>4</v>
      </c>
      <c r="C27" s="8" t="n">
        <f aca="false">COUNTIFS('Open Items'!$B$2:$B$28,$A27)</f>
        <v>4</v>
      </c>
    </row>
    <row r="28" customFormat="false" ht="15" hidden="false" customHeight="false" outlineLevel="0" collapsed="false">
      <c r="A28" s="8" t="s">
        <v>80</v>
      </c>
      <c r="B28" s="8" t="n">
        <f aca="false">COUNTIFS('Open Items'!$B$2:$B$28,$A28,'Open Items'!$G$2:$G$28,"Open")</f>
        <v>9</v>
      </c>
      <c r="C28" s="8" t="n">
        <f aca="false">COUNTIFS('Open Items'!$B$2:$B$28,$A28)</f>
        <v>9</v>
      </c>
    </row>
    <row r="29" customFormat="false" ht="15" hidden="false" customHeight="false" outlineLevel="0" collapsed="false">
      <c r="A29" s="8" t="s">
        <v>73</v>
      </c>
      <c r="B29" s="8" t="n">
        <f aca="false">COUNTIFS('Open Items'!$B$2:$B$28,$A29,'Open Items'!$G$2:$G$28,"Open")</f>
        <v>6</v>
      </c>
      <c r="C29" s="8" t="n">
        <f aca="false">COUNTIFS('Open Items'!$B$2:$B$28,$A29)</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20"/>
    <col collapsed="false" customWidth="true" hidden="false" outlineLevel="0" max="4" min="4" style="0" width="36"/>
    <col collapsed="false" customWidth="true" hidden="false" outlineLevel="0" max="5" min="5" style="0" width="40"/>
    <col collapsed="false" customWidth="true" hidden="false" outlineLevel="0" max="7" min="6" style="0" width="44"/>
    <col collapsed="false" customWidth="true" hidden="false" outlineLevel="0" max="8" min="8" style="0" width="30"/>
    <col collapsed="false" customWidth="true" hidden="false" outlineLevel="0" max="9" min="9" style="0" width="10"/>
  </cols>
  <sheetData>
    <row r="1" customFormat="false" ht="30" hidden="false" customHeight="true" outlineLevel="0" collapsed="false">
      <c r="A1" s="7" t="s">
        <v>76</v>
      </c>
      <c r="B1" s="7" t="s">
        <v>81</v>
      </c>
      <c r="C1" s="7" t="s">
        <v>82</v>
      </c>
      <c r="D1" s="7" t="s">
        <v>83</v>
      </c>
      <c r="E1" s="7" t="s">
        <v>84</v>
      </c>
      <c r="F1" s="7" t="s">
        <v>85</v>
      </c>
      <c r="G1" s="7" t="s">
        <v>86</v>
      </c>
      <c r="H1" s="7" t="s">
        <v>87</v>
      </c>
      <c r="I1" s="7" t="s">
        <v>88</v>
      </c>
    </row>
    <row r="2" customFormat="false" ht="35.05" hidden="false" customHeight="false" outlineLevel="0" collapsed="false">
      <c r="A2" s="13" t="s">
        <v>78</v>
      </c>
      <c r="B2" s="13" t="s">
        <v>89</v>
      </c>
      <c r="C2" s="13" t="s">
        <v>90</v>
      </c>
      <c r="D2" s="13" t="s">
        <v>91</v>
      </c>
      <c r="E2" s="13" t="s">
        <v>92</v>
      </c>
      <c r="F2" s="13" t="s">
        <v>93</v>
      </c>
      <c r="G2" s="13" t="s">
        <v>94</v>
      </c>
      <c r="H2" s="13" t="s">
        <v>95</v>
      </c>
      <c r="I2" s="13" t="s">
        <v>78</v>
      </c>
    </row>
    <row r="3" customFormat="false" ht="46.25" hidden="false" customHeight="false" outlineLevel="0" collapsed="false">
      <c r="A3" s="13" t="s">
        <v>79</v>
      </c>
      <c r="B3" s="13" t="s">
        <v>96</v>
      </c>
      <c r="C3" s="13" t="s">
        <v>97</v>
      </c>
      <c r="D3" s="13" t="s">
        <v>98</v>
      </c>
      <c r="E3" s="13" t="s">
        <v>99</v>
      </c>
      <c r="F3" s="13" t="s">
        <v>100</v>
      </c>
      <c r="G3" s="13" t="s">
        <v>101</v>
      </c>
      <c r="H3" s="13" t="s">
        <v>102</v>
      </c>
      <c r="I3" s="13" t="s">
        <v>79</v>
      </c>
    </row>
    <row r="4" customFormat="false" ht="46.25" hidden="false" customHeight="false" outlineLevel="0" collapsed="false">
      <c r="A4" s="13" t="s">
        <v>80</v>
      </c>
      <c r="B4" s="13" t="s">
        <v>103</v>
      </c>
      <c r="C4" s="13" t="s">
        <v>104</v>
      </c>
      <c r="D4" s="13" t="s">
        <v>105</v>
      </c>
      <c r="E4" s="13" t="s">
        <v>106</v>
      </c>
      <c r="F4" s="13" t="s">
        <v>107</v>
      </c>
      <c r="G4" s="13" t="s">
        <v>108</v>
      </c>
      <c r="H4" s="13" t="s">
        <v>109</v>
      </c>
      <c r="I4" s="13" t="s">
        <v>110</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26"/>
    <col collapsed="false" customWidth="true" hidden="false" outlineLevel="0" max="4" min="4" style="0" width="70"/>
    <col collapsed="false" customWidth="true" hidden="false" outlineLevel="0" max="5" min="5" style="0" width="26"/>
    <col collapsed="false" customWidth="true" hidden="false" outlineLevel="0" max="7" min="6" style="0" width="22"/>
    <col collapsed="false" customWidth="true" hidden="false" outlineLevel="0" max="8" min="8" style="0" width="16"/>
    <col collapsed="false" customWidth="true" hidden="false" outlineLevel="0" max="9" min="9" style="0" width="24"/>
    <col collapsed="false" customWidth="true" hidden="false" outlineLevel="0" max="10" min="10" style="0" width="16"/>
    <col collapsed="false" customWidth="true" hidden="false" outlineLevel="0" max="11" min="11" style="0" width="10"/>
    <col collapsed="false" customWidth="true" hidden="false" outlineLevel="0" max="14" min="12" style="0" width="16"/>
    <col collapsed="false" customWidth="true" hidden="false" outlineLevel="0" max="15" min="15" style="0" width="60"/>
    <col collapsed="false" customWidth="true" hidden="false" outlineLevel="0" max="16" min="16" style="0" width="18"/>
    <col collapsed="false" customWidth="true" hidden="false" outlineLevel="0" max="17" min="17" style="0" width="30"/>
  </cols>
  <sheetData>
    <row r="1" customFormat="false" ht="30" hidden="false" customHeight="true" outlineLevel="0" collapsed="false">
      <c r="A1" s="7" t="s">
        <v>111</v>
      </c>
      <c r="B1" s="7" t="s">
        <v>51</v>
      </c>
      <c r="C1" s="7" t="s">
        <v>112</v>
      </c>
      <c r="D1" s="7" t="s">
        <v>113</v>
      </c>
      <c r="E1" s="7" t="s">
        <v>114</v>
      </c>
      <c r="F1" s="7" t="s">
        <v>115</v>
      </c>
      <c r="G1" s="7" t="s">
        <v>116</v>
      </c>
      <c r="H1" s="7" t="s">
        <v>117</v>
      </c>
      <c r="I1" s="7" t="s">
        <v>118</v>
      </c>
      <c r="J1" s="7" t="s">
        <v>65</v>
      </c>
      <c r="K1" s="7" t="s">
        <v>119</v>
      </c>
      <c r="L1" s="7" t="s">
        <v>120</v>
      </c>
      <c r="M1" s="7" t="s">
        <v>121</v>
      </c>
      <c r="N1" s="7" t="s">
        <v>42</v>
      </c>
      <c r="O1" s="7" t="s">
        <v>122</v>
      </c>
      <c r="P1" s="7" t="s">
        <v>123</v>
      </c>
      <c r="Q1" s="7" t="s">
        <v>124</v>
      </c>
    </row>
    <row r="2" customFormat="false" ht="57.45" hidden="false" customHeight="false" outlineLevel="0" collapsed="false">
      <c r="A2" s="13" t="s">
        <v>125</v>
      </c>
      <c r="B2" s="14" t="s">
        <v>59</v>
      </c>
      <c r="C2" s="13" t="s">
        <v>126</v>
      </c>
      <c r="D2" s="13" t="s">
        <v>127</v>
      </c>
      <c r="E2" s="13" t="s">
        <v>128</v>
      </c>
      <c r="F2" s="13" t="s">
        <v>129</v>
      </c>
      <c r="G2" s="13" t="s">
        <v>130</v>
      </c>
      <c r="H2" s="13" t="s">
        <v>131</v>
      </c>
      <c r="I2" s="13" t="s">
        <v>132</v>
      </c>
      <c r="J2" s="13" t="s">
        <v>70</v>
      </c>
      <c r="K2" s="13" t="s">
        <v>66</v>
      </c>
      <c r="L2" s="13" t="s">
        <v>52</v>
      </c>
      <c r="M2" s="13" t="s">
        <v>133</v>
      </c>
      <c r="N2" s="13" t="s">
        <v>134</v>
      </c>
      <c r="O2" s="13" t="s">
        <v>135</v>
      </c>
      <c r="P2" s="15"/>
      <c r="Q2" s="15"/>
    </row>
    <row r="3" customFormat="false" ht="46.25" hidden="false" customHeight="false" outlineLevel="0" collapsed="false">
      <c r="A3" s="13" t="s">
        <v>136</v>
      </c>
      <c r="B3" s="14" t="s">
        <v>59</v>
      </c>
      <c r="C3" s="13" t="s">
        <v>137</v>
      </c>
      <c r="D3" s="13" t="s">
        <v>138</v>
      </c>
      <c r="E3" s="13" t="s">
        <v>139</v>
      </c>
      <c r="F3" s="13" t="s">
        <v>129</v>
      </c>
      <c r="G3" s="13" t="s">
        <v>130</v>
      </c>
      <c r="H3" s="13" t="s">
        <v>131</v>
      </c>
      <c r="I3" s="13" t="s">
        <v>132</v>
      </c>
      <c r="J3" s="13" t="s">
        <v>70</v>
      </c>
      <c r="K3" s="13" t="s">
        <v>66</v>
      </c>
      <c r="L3" s="13" t="s">
        <v>52</v>
      </c>
      <c r="M3" s="13" t="s">
        <v>140</v>
      </c>
      <c r="N3" s="13" t="s">
        <v>134</v>
      </c>
      <c r="O3" s="13" t="s">
        <v>141</v>
      </c>
      <c r="P3" s="15"/>
      <c r="Q3" s="15"/>
    </row>
    <row r="4" customFormat="false" ht="35.05" hidden="false" customHeight="false" outlineLevel="0" collapsed="false">
      <c r="A4" s="13" t="s">
        <v>142</v>
      </c>
      <c r="B4" s="14" t="s">
        <v>59</v>
      </c>
      <c r="C4" s="13" t="s">
        <v>143</v>
      </c>
      <c r="D4" s="13" t="s">
        <v>144</v>
      </c>
      <c r="E4" s="13" t="s">
        <v>145</v>
      </c>
      <c r="F4" s="13" t="s">
        <v>130</v>
      </c>
      <c r="G4" s="13" t="s">
        <v>146</v>
      </c>
      <c r="H4" s="13" t="s">
        <v>147</v>
      </c>
      <c r="I4" s="13" t="s">
        <v>148</v>
      </c>
      <c r="J4" s="13" t="s">
        <v>68</v>
      </c>
      <c r="K4" s="13" t="s">
        <v>66</v>
      </c>
      <c r="L4" s="13" t="s">
        <v>53</v>
      </c>
      <c r="M4" s="13" t="s">
        <v>149</v>
      </c>
      <c r="N4" s="13" t="s">
        <v>134</v>
      </c>
      <c r="O4" s="13" t="s">
        <v>150</v>
      </c>
      <c r="P4" s="15"/>
      <c r="Q4" s="15"/>
    </row>
    <row r="5" customFormat="false" ht="35.05" hidden="false" customHeight="false" outlineLevel="0" collapsed="false">
      <c r="A5" s="13" t="s">
        <v>151</v>
      </c>
      <c r="B5" s="14" t="s">
        <v>59</v>
      </c>
      <c r="C5" s="13" t="s">
        <v>152</v>
      </c>
      <c r="D5" s="13" t="s">
        <v>153</v>
      </c>
      <c r="E5" s="13" t="s">
        <v>154</v>
      </c>
      <c r="F5" s="13" t="s">
        <v>155</v>
      </c>
      <c r="G5" s="13" t="s">
        <v>156</v>
      </c>
      <c r="H5" s="13" t="s">
        <v>131</v>
      </c>
      <c r="I5" s="13" t="s">
        <v>157</v>
      </c>
      <c r="J5" s="13" t="s">
        <v>69</v>
      </c>
      <c r="K5" s="13" t="s">
        <v>66</v>
      </c>
      <c r="L5" s="13" t="s">
        <v>52</v>
      </c>
      <c r="M5" s="13" t="s">
        <v>158</v>
      </c>
      <c r="N5" s="13" t="s">
        <v>134</v>
      </c>
      <c r="O5" s="13" t="s">
        <v>159</v>
      </c>
      <c r="P5" s="15"/>
      <c r="Q5" s="15"/>
    </row>
    <row r="6" customFormat="false" ht="46.25" hidden="false" customHeight="false" outlineLevel="0" collapsed="false">
      <c r="A6" s="13" t="s">
        <v>160</v>
      </c>
      <c r="B6" s="14" t="s">
        <v>59</v>
      </c>
      <c r="C6" s="13" t="s">
        <v>161</v>
      </c>
      <c r="D6" s="13" t="s">
        <v>162</v>
      </c>
      <c r="E6" s="13" t="s">
        <v>163</v>
      </c>
      <c r="F6" s="13" t="s">
        <v>155</v>
      </c>
      <c r="G6" s="13" t="s">
        <v>130</v>
      </c>
      <c r="H6" s="13" t="s">
        <v>164</v>
      </c>
      <c r="I6" s="13" t="s">
        <v>132</v>
      </c>
      <c r="J6" s="13" t="s">
        <v>70</v>
      </c>
      <c r="K6" s="13" t="s">
        <v>66</v>
      </c>
      <c r="L6" s="13" t="s">
        <v>52</v>
      </c>
      <c r="M6" s="13" t="s">
        <v>165</v>
      </c>
      <c r="N6" s="13" t="s">
        <v>134</v>
      </c>
      <c r="O6" s="13" t="s">
        <v>166</v>
      </c>
      <c r="P6" s="15"/>
      <c r="Q6" s="15"/>
    </row>
    <row r="7" customFormat="false" ht="35.05" hidden="false" customHeight="false" outlineLevel="0" collapsed="false">
      <c r="A7" s="13" t="s">
        <v>167</v>
      </c>
      <c r="B7" s="14" t="s">
        <v>59</v>
      </c>
      <c r="C7" s="13" t="s">
        <v>168</v>
      </c>
      <c r="D7" s="13" t="s">
        <v>169</v>
      </c>
      <c r="E7" s="13" t="s">
        <v>170</v>
      </c>
      <c r="F7" s="13" t="s">
        <v>171</v>
      </c>
      <c r="G7" s="13" t="s">
        <v>67</v>
      </c>
      <c r="H7" s="13" t="s">
        <v>172</v>
      </c>
      <c r="I7" s="13" t="s">
        <v>173</v>
      </c>
      <c r="J7" s="13" t="s">
        <v>67</v>
      </c>
      <c r="K7" s="13" t="s">
        <v>66</v>
      </c>
      <c r="L7" s="13" t="s">
        <v>52</v>
      </c>
      <c r="M7" s="13" t="s">
        <v>174</v>
      </c>
      <c r="N7" s="13" t="s">
        <v>134</v>
      </c>
      <c r="O7" s="13" t="s">
        <v>175</v>
      </c>
      <c r="P7" s="15"/>
      <c r="Q7" s="15"/>
    </row>
    <row r="8" customFormat="false" ht="46.25" hidden="false" customHeight="false" outlineLevel="0" collapsed="false">
      <c r="A8" s="13" t="s">
        <v>176</v>
      </c>
      <c r="B8" s="14" t="s">
        <v>59</v>
      </c>
      <c r="C8" s="13" t="s">
        <v>177</v>
      </c>
      <c r="D8" s="13" t="s">
        <v>178</v>
      </c>
      <c r="E8" s="13" t="s">
        <v>179</v>
      </c>
      <c r="F8" s="13" t="s">
        <v>130</v>
      </c>
      <c r="G8" s="13" t="s">
        <v>67</v>
      </c>
      <c r="H8" s="13" t="s">
        <v>131</v>
      </c>
      <c r="I8" s="13" t="s">
        <v>173</v>
      </c>
      <c r="J8" s="13" t="s">
        <v>67</v>
      </c>
      <c r="K8" s="13" t="s">
        <v>66</v>
      </c>
      <c r="L8" s="13" t="s">
        <v>52</v>
      </c>
      <c r="M8" s="13" t="s">
        <v>180</v>
      </c>
      <c r="N8" s="13" t="s">
        <v>134</v>
      </c>
      <c r="O8" s="13" t="s">
        <v>181</v>
      </c>
      <c r="P8" s="15"/>
      <c r="Q8" s="15"/>
    </row>
    <row r="9" customFormat="false" ht="35.05" hidden="false" customHeight="false" outlineLevel="0" collapsed="false">
      <c r="A9" s="13" t="s">
        <v>182</v>
      </c>
      <c r="B9" s="14" t="s">
        <v>59</v>
      </c>
      <c r="C9" s="13" t="s">
        <v>183</v>
      </c>
      <c r="D9" s="13" t="s">
        <v>184</v>
      </c>
      <c r="E9" s="13" t="s">
        <v>185</v>
      </c>
      <c r="F9" s="13" t="s">
        <v>130</v>
      </c>
      <c r="G9" s="13" t="s">
        <v>67</v>
      </c>
      <c r="H9" s="13" t="s">
        <v>131</v>
      </c>
      <c r="I9" s="13" t="s">
        <v>173</v>
      </c>
      <c r="J9" s="13" t="s">
        <v>67</v>
      </c>
      <c r="K9" s="13" t="s">
        <v>66</v>
      </c>
      <c r="L9" s="13" t="s">
        <v>52</v>
      </c>
      <c r="M9" s="13" t="s">
        <v>186</v>
      </c>
      <c r="N9" s="13" t="s">
        <v>134</v>
      </c>
      <c r="O9" s="13" t="s">
        <v>187</v>
      </c>
      <c r="P9" s="15"/>
      <c r="Q9" s="15"/>
    </row>
    <row r="10" customFormat="false" ht="35.05" hidden="false" customHeight="false" outlineLevel="0" collapsed="false">
      <c r="A10" s="13" t="s">
        <v>188</v>
      </c>
      <c r="B10" s="14" t="s">
        <v>59</v>
      </c>
      <c r="C10" s="13" t="s">
        <v>189</v>
      </c>
      <c r="D10" s="13" t="s">
        <v>190</v>
      </c>
      <c r="E10" s="13" t="s">
        <v>191</v>
      </c>
      <c r="F10" s="13" t="s">
        <v>67</v>
      </c>
      <c r="G10" s="13" t="s">
        <v>192</v>
      </c>
      <c r="H10" s="13" t="s">
        <v>193</v>
      </c>
      <c r="I10" s="13" t="s">
        <v>173</v>
      </c>
      <c r="J10" s="13" t="s">
        <v>67</v>
      </c>
      <c r="K10" s="13" t="s">
        <v>66</v>
      </c>
      <c r="L10" s="13" t="s">
        <v>54</v>
      </c>
      <c r="M10" s="13" t="s">
        <v>194</v>
      </c>
      <c r="N10" s="13" t="s">
        <v>134</v>
      </c>
      <c r="O10" s="13" t="s">
        <v>195</v>
      </c>
      <c r="P10" s="15"/>
      <c r="Q10" s="15"/>
    </row>
    <row r="11" customFormat="false" ht="35.05" hidden="false" customHeight="false" outlineLevel="0" collapsed="false">
      <c r="A11" s="13" t="s">
        <v>196</v>
      </c>
      <c r="B11" s="14" t="s">
        <v>59</v>
      </c>
      <c r="C11" s="13" t="s">
        <v>197</v>
      </c>
      <c r="D11" s="13" t="s">
        <v>198</v>
      </c>
      <c r="E11" s="13" t="s">
        <v>199</v>
      </c>
      <c r="F11" s="13" t="s">
        <v>67</v>
      </c>
      <c r="G11" s="13" t="s">
        <v>67</v>
      </c>
      <c r="H11" s="13" t="s">
        <v>200</v>
      </c>
      <c r="I11" s="13" t="s">
        <v>201</v>
      </c>
      <c r="J11" s="13" t="s">
        <v>67</v>
      </c>
      <c r="K11" s="13" t="s">
        <v>66</v>
      </c>
      <c r="L11" s="13" t="s">
        <v>54</v>
      </c>
      <c r="M11" s="13" t="s">
        <v>202</v>
      </c>
      <c r="N11" s="13" t="s">
        <v>134</v>
      </c>
      <c r="O11" s="13" t="s">
        <v>203</v>
      </c>
      <c r="P11" s="15"/>
      <c r="Q11" s="15"/>
    </row>
    <row r="12" customFormat="false" ht="35.05" hidden="false" customHeight="false" outlineLevel="0" collapsed="false">
      <c r="A12" s="13" t="s">
        <v>204</v>
      </c>
      <c r="B12" s="14" t="s">
        <v>59</v>
      </c>
      <c r="C12" s="13" t="s">
        <v>205</v>
      </c>
      <c r="D12" s="13" t="s">
        <v>206</v>
      </c>
      <c r="E12" s="13" t="s">
        <v>207</v>
      </c>
      <c r="F12" s="13" t="s">
        <v>156</v>
      </c>
      <c r="G12" s="13" t="s">
        <v>146</v>
      </c>
      <c r="H12" s="13" t="s">
        <v>131</v>
      </c>
      <c r="I12" s="13" t="s">
        <v>208</v>
      </c>
      <c r="J12" s="13" t="s">
        <v>68</v>
      </c>
      <c r="K12" s="13" t="s">
        <v>66</v>
      </c>
      <c r="L12" s="13" t="s">
        <v>52</v>
      </c>
      <c r="M12" s="13" t="s">
        <v>209</v>
      </c>
      <c r="N12" s="13" t="s">
        <v>134</v>
      </c>
      <c r="O12" s="13" t="s">
        <v>210</v>
      </c>
      <c r="P12" s="15"/>
      <c r="Q12" s="15"/>
    </row>
    <row r="13" customFormat="false" ht="46.25" hidden="false" customHeight="false" outlineLevel="0" collapsed="false">
      <c r="A13" s="13" t="s">
        <v>211</v>
      </c>
      <c r="B13" s="14" t="s">
        <v>59</v>
      </c>
      <c r="C13" s="13" t="s">
        <v>212</v>
      </c>
      <c r="D13" s="13" t="s">
        <v>213</v>
      </c>
      <c r="E13" s="13" t="s">
        <v>214</v>
      </c>
      <c r="F13" s="13" t="s">
        <v>130</v>
      </c>
      <c r="G13" s="13" t="s">
        <v>72</v>
      </c>
      <c r="H13" s="13" t="s">
        <v>131</v>
      </c>
      <c r="I13" s="13" t="s">
        <v>132</v>
      </c>
      <c r="J13" s="13" t="s">
        <v>72</v>
      </c>
      <c r="K13" s="13" t="s">
        <v>66</v>
      </c>
      <c r="L13" s="13" t="s">
        <v>52</v>
      </c>
      <c r="M13" s="13" t="s">
        <v>215</v>
      </c>
      <c r="N13" s="13" t="s">
        <v>134</v>
      </c>
      <c r="O13" s="13" t="s">
        <v>216</v>
      </c>
      <c r="P13" s="15"/>
      <c r="Q13" s="15"/>
    </row>
    <row r="14" customFormat="false" ht="35.05" hidden="false" customHeight="false" outlineLevel="0" collapsed="false">
      <c r="A14" s="13" t="s">
        <v>217</v>
      </c>
      <c r="B14" s="14" t="s">
        <v>59</v>
      </c>
      <c r="C14" s="13" t="s">
        <v>218</v>
      </c>
      <c r="D14" s="13" t="s">
        <v>219</v>
      </c>
      <c r="E14" s="13" t="s">
        <v>220</v>
      </c>
      <c r="F14" s="13" t="s">
        <v>130</v>
      </c>
      <c r="G14" s="13" t="s">
        <v>221</v>
      </c>
      <c r="H14" s="13" t="s">
        <v>222</v>
      </c>
      <c r="I14" s="13" t="s">
        <v>223</v>
      </c>
      <c r="J14" s="13" t="s">
        <v>221</v>
      </c>
      <c r="K14" s="13" t="s">
        <v>66</v>
      </c>
      <c r="L14" s="13" t="s">
        <v>52</v>
      </c>
      <c r="M14" s="13" t="s">
        <v>194</v>
      </c>
      <c r="N14" s="13" t="s">
        <v>134</v>
      </c>
      <c r="O14" s="13" t="s">
        <v>224</v>
      </c>
      <c r="P14" s="15"/>
      <c r="Q14" s="15"/>
    </row>
    <row r="15" customFormat="false" ht="23.85" hidden="false" customHeight="false" outlineLevel="0" collapsed="false">
      <c r="A15" s="13" t="s">
        <v>225</v>
      </c>
      <c r="B15" s="14" t="s">
        <v>59</v>
      </c>
      <c r="C15" s="13" t="s">
        <v>226</v>
      </c>
      <c r="D15" s="13" t="s">
        <v>227</v>
      </c>
      <c r="E15" s="13" t="s">
        <v>228</v>
      </c>
      <c r="F15" s="13" t="s">
        <v>73</v>
      </c>
      <c r="G15" s="13" t="s">
        <v>73</v>
      </c>
      <c r="H15" s="13" t="s">
        <v>229</v>
      </c>
      <c r="I15" s="13" t="s">
        <v>230</v>
      </c>
      <c r="J15" s="13" t="s">
        <v>221</v>
      </c>
      <c r="K15" s="13" t="s">
        <v>66</v>
      </c>
      <c r="L15" s="13" t="s">
        <v>55</v>
      </c>
      <c r="M15" s="13" t="s">
        <v>231</v>
      </c>
      <c r="N15" s="13" t="s">
        <v>134</v>
      </c>
      <c r="O15" s="13" t="s">
        <v>232</v>
      </c>
      <c r="P15" s="15"/>
      <c r="Q15" s="15"/>
    </row>
    <row r="16" customFormat="false" ht="35.05" hidden="false" customHeight="false" outlineLevel="0" collapsed="false">
      <c r="A16" s="13" t="s">
        <v>233</v>
      </c>
      <c r="B16" s="16" t="s">
        <v>60</v>
      </c>
      <c r="C16" s="13" t="s">
        <v>234</v>
      </c>
      <c r="D16" s="13" t="s">
        <v>235</v>
      </c>
      <c r="E16" s="13" t="s">
        <v>236</v>
      </c>
      <c r="F16" s="13" t="s">
        <v>155</v>
      </c>
      <c r="G16" s="13" t="s">
        <v>156</v>
      </c>
      <c r="H16" s="13" t="s">
        <v>131</v>
      </c>
      <c r="I16" s="13" t="s">
        <v>208</v>
      </c>
      <c r="J16" s="13" t="s">
        <v>69</v>
      </c>
      <c r="K16" s="13" t="s">
        <v>66</v>
      </c>
      <c r="L16" s="13" t="s">
        <v>52</v>
      </c>
      <c r="M16" s="13" t="s">
        <v>158</v>
      </c>
      <c r="N16" s="13" t="s">
        <v>134</v>
      </c>
      <c r="O16" s="13" t="s">
        <v>237</v>
      </c>
      <c r="P16" s="15"/>
      <c r="Q16" s="15"/>
    </row>
    <row r="17" customFormat="false" ht="23.85" hidden="false" customHeight="false" outlineLevel="0" collapsed="false">
      <c r="A17" s="13" t="s">
        <v>238</v>
      </c>
      <c r="B17" s="16" t="s">
        <v>60</v>
      </c>
      <c r="C17" s="13" t="s">
        <v>239</v>
      </c>
      <c r="D17" s="13" t="s">
        <v>240</v>
      </c>
      <c r="E17" s="13" t="s">
        <v>241</v>
      </c>
      <c r="F17" s="13" t="s">
        <v>156</v>
      </c>
      <c r="G17" s="13" t="s">
        <v>156</v>
      </c>
      <c r="H17" s="13" t="s">
        <v>242</v>
      </c>
      <c r="I17" s="13" t="s">
        <v>208</v>
      </c>
      <c r="J17" s="13" t="s">
        <v>69</v>
      </c>
      <c r="K17" s="13" t="s">
        <v>66</v>
      </c>
      <c r="L17" s="13" t="s">
        <v>52</v>
      </c>
      <c r="M17" s="13" t="s">
        <v>243</v>
      </c>
      <c r="N17" s="13" t="s">
        <v>134</v>
      </c>
      <c r="O17" s="13" t="s">
        <v>244</v>
      </c>
      <c r="P17" s="15"/>
      <c r="Q17" s="15"/>
    </row>
    <row r="18" customFormat="false" ht="23.85" hidden="false" customHeight="false" outlineLevel="0" collapsed="false">
      <c r="A18" s="13" t="s">
        <v>245</v>
      </c>
      <c r="B18" s="16" t="s">
        <v>60</v>
      </c>
      <c r="C18" s="13" t="s">
        <v>246</v>
      </c>
      <c r="D18" s="13" t="s">
        <v>247</v>
      </c>
      <c r="E18" s="13" t="s">
        <v>248</v>
      </c>
      <c r="F18" s="13" t="s">
        <v>249</v>
      </c>
      <c r="G18" s="13" t="s">
        <v>250</v>
      </c>
      <c r="H18" s="13" t="s">
        <v>251</v>
      </c>
      <c r="I18" s="13" t="s">
        <v>208</v>
      </c>
      <c r="J18" s="13" t="s">
        <v>69</v>
      </c>
      <c r="K18" s="13" t="s">
        <v>66</v>
      </c>
      <c r="L18" s="13" t="s">
        <v>52</v>
      </c>
      <c r="M18" s="13"/>
      <c r="N18" s="13" t="s">
        <v>134</v>
      </c>
      <c r="O18" s="13" t="s">
        <v>252</v>
      </c>
      <c r="P18" s="15"/>
      <c r="Q18" s="15"/>
    </row>
    <row r="19" customFormat="false" ht="23.85" hidden="false" customHeight="false" outlineLevel="0" collapsed="false">
      <c r="A19" s="13" t="s">
        <v>253</v>
      </c>
      <c r="B19" s="16" t="s">
        <v>60</v>
      </c>
      <c r="C19" s="13" t="s">
        <v>254</v>
      </c>
      <c r="D19" s="13" t="s">
        <v>255</v>
      </c>
      <c r="E19" s="13" t="s">
        <v>256</v>
      </c>
      <c r="F19" s="13" t="s">
        <v>156</v>
      </c>
      <c r="G19" s="13" t="s">
        <v>257</v>
      </c>
      <c r="H19" s="13" t="s">
        <v>242</v>
      </c>
      <c r="I19" s="13" t="s">
        <v>208</v>
      </c>
      <c r="J19" s="13" t="s">
        <v>69</v>
      </c>
      <c r="K19" s="13" t="s">
        <v>66</v>
      </c>
      <c r="L19" s="13" t="s">
        <v>52</v>
      </c>
      <c r="M19" s="13" t="s">
        <v>243</v>
      </c>
      <c r="N19" s="13" t="s">
        <v>134</v>
      </c>
      <c r="O19" s="13" t="s">
        <v>258</v>
      </c>
      <c r="P19" s="15"/>
      <c r="Q19" s="15"/>
    </row>
    <row r="20" customFormat="false" ht="23.85" hidden="false" customHeight="false" outlineLevel="0" collapsed="false">
      <c r="A20" s="13" t="s">
        <v>259</v>
      </c>
      <c r="B20" s="16" t="s">
        <v>60</v>
      </c>
      <c r="C20" s="13" t="s">
        <v>260</v>
      </c>
      <c r="D20" s="13" t="s">
        <v>261</v>
      </c>
      <c r="E20" s="13" t="s">
        <v>262</v>
      </c>
      <c r="F20" s="13" t="s">
        <v>156</v>
      </c>
      <c r="G20" s="13" t="s">
        <v>263</v>
      </c>
      <c r="H20" s="13" t="s">
        <v>242</v>
      </c>
      <c r="I20" s="13" t="s">
        <v>208</v>
      </c>
      <c r="J20" s="13" t="s">
        <v>69</v>
      </c>
      <c r="K20" s="13" t="s">
        <v>66</v>
      </c>
      <c r="L20" s="13" t="s">
        <v>52</v>
      </c>
      <c r="M20" s="13" t="s">
        <v>264</v>
      </c>
      <c r="N20" s="13" t="s">
        <v>134</v>
      </c>
      <c r="O20" s="13" t="s">
        <v>265</v>
      </c>
      <c r="P20" s="15"/>
      <c r="Q20" s="15"/>
    </row>
    <row r="21" customFormat="false" ht="23.85" hidden="false" customHeight="false" outlineLevel="0" collapsed="false">
      <c r="A21" s="13" t="s">
        <v>266</v>
      </c>
      <c r="B21" s="16" t="s">
        <v>60</v>
      </c>
      <c r="C21" s="13" t="s">
        <v>267</v>
      </c>
      <c r="D21" s="13" t="s">
        <v>268</v>
      </c>
      <c r="E21" s="13" t="s">
        <v>269</v>
      </c>
      <c r="F21" s="13" t="s">
        <v>156</v>
      </c>
      <c r="G21" s="13" t="s">
        <v>270</v>
      </c>
      <c r="H21" s="13" t="s">
        <v>242</v>
      </c>
      <c r="I21" s="13" t="s">
        <v>208</v>
      </c>
      <c r="J21" s="13" t="s">
        <v>69</v>
      </c>
      <c r="K21" s="13" t="s">
        <v>66</v>
      </c>
      <c r="L21" s="13" t="s">
        <v>52</v>
      </c>
      <c r="M21" s="13"/>
      <c r="N21" s="13" t="s">
        <v>134</v>
      </c>
      <c r="O21" s="13" t="s">
        <v>271</v>
      </c>
      <c r="P21" s="15"/>
      <c r="Q21" s="15"/>
    </row>
    <row r="22" customFormat="false" ht="35.05" hidden="false" customHeight="false" outlineLevel="0" collapsed="false">
      <c r="A22" s="13" t="s">
        <v>272</v>
      </c>
      <c r="B22" s="16" t="s">
        <v>60</v>
      </c>
      <c r="C22" s="13" t="s">
        <v>273</v>
      </c>
      <c r="D22" s="13" t="s">
        <v>274</v>
      </c>
      <c r="E22" s="13" t="s">
        <v>275</v>
      </c>
      <c r="F22" s="13" t="s">
        <v>156</v>
      </c>
      <c r="G22" s="13" t="s">
        <v>276</v>
      </c>
      <c r="H22" s="13" t="s">
        <v>61</v>
      </c>
      <c r="I22" s="13" t="s">
        <v>277</v>
      </c>
      <c r="J22" s="13" t="s">
        <v>69</v>
      </c>
      <c r="K22" s="13" t="s">
        <v>66</v>
      </c>
      <c r="L22" s="13" t="s">
        <v>52</v>
      </c>
      <c r="M22" s="13" t="s">
        <v>278</v>
      </c>
      <c r="N22" s="13" t="s">
        <v>134</v>
      </c>
      <c r="O22" s="13" t="s">
        <v>279</v>
      </c>
      <c r="P22" s="15"/>
      <c r="Q22" s="15"/>
    </row>
    <row r="23" customFormat="false" ht="46.25" hidden="false" customHeight="false" outlineLevel="0" collapsed="false">
      <c r="A23" s="13" t="s">
        <v>280</v>
      </c>
      <c r="B23" s="16" t="s">
        <v>60</v>
      </c>
      <c r="C23" s="13" t="s">
        <v>281</v>
      </c>
      <c r="D23" s="13" t="s">
        <v>282</v>
      </c>
      <c r="E23" s="13" t="s">
        <v>283</v>
      </c>
      <c r="F23" s="13" t="s">
        <v>130</v>
      </c>
      <c r="G23" s="13" t="s">
        <v>156</v>
      </c>
      <c r="H23" s="13" t="s">
        <v>284</v>
      </c>
      <c r="I23" s="13" t="s">
        <v>148</v>
      </c>
      <c r="J23" s="13" t="s">
        <v>69</v>
      </c>
      <c r="K23" s="13" t="s">
        <v>66</v>
      </c>
      <c r="L23" s="13" t="s">
        <v>52</v>
      </c>
      <c r="M23" s="13" t="s">
        <v>285</v>
      </c>
      <c r="N23" s="13" t="s">
        <v>134</v>
      </c>
      <c r="O23" s="13" t="s">
        <v>286</v>
      </c>
      <c r="P23" s="15"/>
      <c r="Q23" s="15"/>
    </row>
    <row r="24" customFormat="false" ht="35.05" hidden="false" customHeight="false" outlineLevel="0" collapsed="false">
      <c r="A24" s="13" t="s">
        <v>287</v>
      </c>
      <c r="B24" s="16" t="s">
        <v>60</v>
      </c>
      <c r="C24" s="13" t="s">
        <v>288</v>
      </c>
      <c r="D24" s="13" t="s">
        <v>289</v>
      </c>
      <c r="E24" s="13" t="s">
        <v>290</v>
      </c>
      <c r="F24" s="13" t="s">
        <v>156</v>
      </c>
      <c r="G24" s="13" t="s">
        <v>291</v>
      </c>
      <c r="H24" s="13" t="s">
        <v>251</v>
      </c>
      <c r="I24" s="13" t="s">
        <v>208</v>
      </c>
      <c r="J24" s="13" t="s">
        <v>67</v>
      </c>
      <c r="K24" s="13" t="s">
        <v>66</v>
      </c>
      <c r="L24" s="13" t="s">
        <v>52</v>
      </c>
      <c r="M24" s="13" t="s">
        <v>186</v>
      </c>
      <c r="N24" s="13" t="s">
        <v>134</v>
      </c>
      <c r="O24" s="13" t="s">
        <v>292</v>
      </c>
      <c r="P24" s="15"/>
      <c r="Q24" s="15"/>
    </row>
    <row r="25" customFormat="false" ht="35.05" hidden="false" customHeight="false" outlineLevel="0" collapsed="false">
      <c r="A25" s="13" t="s">
        <v>293</v>
      </c>
      <c r="B25" s="16" t="s">
        <v>60</v>
      </c>
      <c r="C25" s="13" t="s">
        <v>294</v>
      </c>
      <c r="D25" s="13" t="s">
        <v>295</v>
      </c>
      <c r="E25" s="13" t="s">
        <v>296</v>
      </c>
      <c r="F25" s="13" t="s">
        <v>156</v>
      </c>
      <c r="G25" s="13" t="s">
        <v>146</v>
      </c>
      <c r="H25" s="13" t="s">
        <v>131</v>
      </c>
      <c r="I25" s="13" t="s">
        <v>208</v>
      </c>
      <c r="J25" s="13" t="s">
        <v>68</v>
      </c>
      <c r="K25" s="13" t="s">
        <v>66</v>
      </c>
      <c r="L25" s="13" t="s">
        <v>52</v>
      </c>
      <c r="M25" s="13" t="s">
        <v>297</v>
      </c>
      <c r="N25" s="13" t="s">
        <v>134</v>
      </c>
      <c r="O25" s="13" t="s">
        <v>298</v>
      </c>
      <c r="P25" s="15"/>
      <c r="Q25" s="15"/>
    </row>
    <row r="26" customFormat="false" ht="35.05" hidden="false" customHeight="false" outlineLevel="0" collapsed="false">
      <c r="A26" s="13" t="s">
        <v>299</v>
      </c>
      <c r="B26" s="16" t="s">
        <v>60</v>
      </c>
      <c r="C26" s="13" t="s">
        <v>300</v>
      </c>
      <c r="D26" s="13" t="s">
        <v>301</v>
      </c>
      <c r="E26" s="13" t="s">
        <v>302</v>
      </c>
      <c r="F26" s="13" t="s">
        <v>156</v>
      </c>
      <c r="G26" s="13" t="s">
        <v>130</v>
      </c>
      <c r="H26" s="13" t="s">
        <v>61</v>
      </c>
      <c r="I26" s="13" t="s">
        <v>277</v>
      </c>
      <c r="J26" s="13" t="s">
        <v>221</v>
      </c>
      <c r="K26" s="13" t="s">
        <v>66</v>
      </c>
      <c r="L26" s="13" t="s">
        <v>52</v>
      </c>
      <c r="M26" s="13" t="s">
        <v>297</v>
      </c>
      <c r="N26" s="13" t="s">
        <v>134</v>
      </c>
      <c r="O26" s="13" t="s">
        <v>303</v>
      </c>
      <c r="P26" s="15"/>
      <c r="Q26" s="15"/>
    </row>
    <row r="27" customFormat="false" ht="35.05" hidden="false" customHeight="false" outlineLevel="0" collapsed="false">
      <c r="A27" s="13" t="s">
        <v>304</v>
      </c>
      <c r="B27" s="16" t="s">
        <v>60</v>
      </c>
      <c r="C27" s="13" t="s">
        <v>305</v>
      </c>
      <c r="D27" s="13" t="s">
        <v>306</v>
      </c>
      <c r="E27" s="13" t="s">
        <v>307</v>
      </c>
      <c r="F27" s="13" t="s">
        <v>130</v>
      </c>
      <c r="G27" s="13" t="s">
        <v>156</v>
      </c>
      <c r="H27" s="13" t="s">
        <v>308</v>
      </c>
      <c r="I27" s="13" t="s">
        <v>148</v>
      </c>
      <c r="J27" s="13" t="s">
        <v>69</v>
      </c>
      <c r="K27" s="13" t="s">
        <v>66</v>
      </c>
      <c r="L27" s="13" t="s">
        <v>52</v>
      </c>
      <c r="M27" s="13" t="s">
        <v>309</v>
      </c>
      <c r="N27" s="13" t="s">
        <v>134</v>
      </c>
      <c r="O27" s="13" t="s">
        <v>310</v>
      </c>
      <c r="P27" s="15"/>
      <c r="Q27" s="15"/>
    </row>
    <row r="28" customFormat="false" ht="23.85" hidden="false" customHeight="false" outlineLevel="0" collapsed="false">
      <c r="A28" s="13" t="s">
        <v>311</v>
      </c>
      <c r="B28" s="16" t="s">
        <v>60</v>
      </c>
      <c r="C28" s="13" t="s">
        <v>312</v>
      </c>
      <c r="D28" s="13" t="s">
        <v>313</v>
      </c>
      <c r="E28" s="13" t="s">
        <v>314</v>
      </c>
      <c r="F28" s="13" t="s">
        <v>156</v>
      </c>
      <c r="G28" s="13" t="s">
        <v>315</v>
      </c>
      <c r="H28" s="13" t="s">
        <v>229</v>
      </c>
      <c r="I28" s="13" t="s">
        <v>208</v>
      </c>
      <c r="J28" s="13" t="s">
        <v>69</v>
      </c>
      <c r="K28" s="13" t="s">
        <v>66</v>
      </c>
      <c r="L28" s="13" t="s">
        <v>52</v>
      </c>
      <c r="M28" s="13" t="s">
        <v>231</v>
      </c>
      <c r="N28" s="13" t="s">
        <v>134</v>
      </c>
      <c r="O28" s="13" t="s">
        <v>316</v>
      </c>
      <c r="P28" s="15"/>
      <c r="Q28" s="15"/>
    </row>
    <row r="29" customFormat="false" ht="35.05" hidden="false" customHeight="false" outlineLevel="0" collapsed="false">
      <c r="A29" s="13" t="s">
        <v>317</v>
      </c>
      <c r="B29" s="16" t="s">
        <v>60</v>
      </c>
      <c r="C29" s="13" t="s">
        <v>318</v>
      </c>
      <c r="D29" s="13" t="s">
        <v>319</v>
      </c>
      <c r="E29" s="13" t="s">
        <v>320</v>
      </c>
      <c r="F29" s="13" t="s">
        <v>321</v>
      </c>
      <c r="G29" s="13" t="s">
        <v>156</v>
      </c>
      <c r="H29" s="13" t="s">
        <v>251</v>
      </c>
      <c r="I29" s="13" t="s">
        <v>208</v>
      </c>
      <c r="J29" s="13" t="s">
        <v>69</v>
      </c>
      <c r="K29" s="13" t="s">
        <v>66</v>
      </c>
      <c r="L29" s="13" t="s">
        <v>56</v>
      </c>
      <c r="M29" s="13" t="s">
        <v>322</v>
      </c>
      <c r="N29" s="13" t="s">
        <v>134</v>
      </c>
      <c r="O29" s="13" t="s">
        <v>323</v>
      </c>
      <c r="P29" s="15"/>
      <c r="Q29" s="15"/>
    </row>
    <row r="30" customFormat="false" ht="35.05" hidden="false" customHeight="false" outlineLevel="0" collapsed="false">
      <c r="A30" s="13" t="s">
        <v>324</v>
      </c>
      <c r="B30" s="17" t="s">
        <v>61</v>
      </c>
      <c r="C30" s="13" t="s">
        <v>325</v>
      </c>
      <c r="D30" s="13" t="s">
        <v>326</v>
      </c>
      <c r="E30" s="13" t="s">
        <v>327</v>
      </c>
      <c r="F30" s="13" t="s">
        <v>155</v>
      </c>
      <c r="G30" s="13" t="s">
        <v>130</v>
      </c>
      <c r="H30" s="13" t="s">
        <v>61</v>
      </c>
      <c r="I30" s="13" t="s">
        <v>328</v>
      </c>
      <c r="J30" s="13" t="s">
        <v>70</v>
      </c>
      <c r="K30" s="13" t="s">
        <v>66</v>
      </c>
      <c r="L30" s="13" t="s">
        <v>52</v>
      </c>
      <c r="M30" s="13" t="s">
        <v>285</v>
      </c>
      <c r="N30" s="13" t="s">
        <v>134</v>
      </c>
      <c r="O30" s="13" t="s">
        <v>329</v>
      </c>
      <c r="P30" s="15"/>
      <c r="Q30" s="15"/>
    </row>
    <row r="31" customFormat="false" ht="35.05" hidden="false" customHeight="false" outlineLevel="0" collapsed="false">
      <c r="A31" s="13" t="s">
        <v>330</v>
      </c>
      <c r="B31" s="17" t="s">
        <v>61</v>
      </c>
      <c r="C31" s="13" t="s">
        <v>331</v>
      </c>
      <c r="D31" s="13" t="s">
        <v>332</v>
      </c>
      <c r="E31" s="13" t="s">
        <v>333</v>
      </c>
      <c r="F31" s="13" t="s">
        <v>156</v>
      </c>
      <c r="G31" s="13" t="s">
        <v>276</v>
      </c>
      <c r="H31" s="13" t="s">
        <v>61</v>
      </c>
      <c r="I31" s="13" t="s">
        <v>277</v>
      </c>
      <c r="J31" s="13" t="s">
        <v>71</v>
      </c>
      <c r="K31" s="13" t="s">
        <v>66</v>
      </c>
      <c r="L31" s="13" t="s">
        <v>52</v>
      </c>
      <c r="M31" s="13" t="s">
        <v>278</v>
      </c>
      <c r="N31" s="13" t="s">
        <v>134</v>
      </c>
      <c r="O31" s="13" t="s">
        <v>334</v>
      </c>
      <c r="P31" s="15"/>
      <c r="Q31" s="15"/>
    </row>
    <row r="32" customFormat="false" ht="35.05" hidden="false" customHeight="false" outlineLevel="0" collapsed="false">
      <c r="A32" s="13" t="s">
        <v>335</v>
      </c>
      <c r="B32" s="17" t="s">
        <v>61</v>
      </c>
      <c r="C32" s="13" t="s">
        <v>336</v>
      </c>
      <c r="D32" s="13" t="s">
        <v>337</v>
      </c>
      <c r="E32" s="13" t="s">
        <v>338</v>
      </c>
      <c r="F32" s="13" t="s">
        <v>156</v>
      </c>
      <c r="G32" s="13" t="s">
        <v>276</v>
      </c>
      <c r="H32" s="13" t="s">
        <v>61</v>
      </c>
      <c r="I32" s="13" t="s">
        <v>277</v>
      </c>
      <c r="J32" s="13" t="s">
        <v>71</v>
      </c>
      <c r="K32" s="13" t="s">
        <v>66</v>
      </c>
      <c r="L32" s="13" t="s">
        <v>52</v>
      </c>
      <c r="M32" s="13"/>
      <c r="N32" s="13" t="s">
        <v>134</v>
      </c>
      <c r="O32" s="13" t="s">
        <v>339</v>
      </c>
      <c r="P32" s="15"/>
      <c r="Q32" s="15"/>
    </row>
    <row r="33" customFormat="false" ht="35.05" hidden="false" customHeight="false" outlineLevel="0" collapsed="false">
      <c r="A33" s="13" t="s">
        <v>340</v>
      </c>
      <c r="B33" s="17" t="s">
        <v>61</v>
      </c>
      <c r="C33" s="13" t="s">
        <v>341</v>
      </c>
      <c r="D33" s="13" t="s">
        <v>342</v>
      </c>
      <c r="E33" s="13" t="s">
        <v>343</v>
      </c>
      <c r="F33" s="13" t="s">
        <v>130</v>
      </c>
      <c r="G33" s="13" t="s">
        <v>156</v>
      </c>
      <c r="H33" s="13" t="s">
        <v>284</v>
      </c>
      <c r="I33" s="13" t="s">
        <v>277</v>
      </c>
      <c r="J33" s="13" t="s">
        <v>67</v>
      </c>
      <c r="K33" s="13" t="s">
        <v>66</v>
      </c>
      <c r="L33" s="13" t="s">
        <v>52</v>
      </c>
      <c r="M33" s="13" t="s">
        <v>344</v>
      </c>
      <c r="N33" s="13" t="s">
        <v>134</v>
      </c>
      <c r="O33" s="13" t="s">
        <v>345</v>
      </c>
      <c r="P33" s="15"/>
      <c r="Q33" s="15"/>
    </row>
    <row r="34" customFormat="false" ht="23.85" hidden="false" customHeight="false" outlineLevel="0" collapsed="false">
      <c r="A34" s="13" t="s">
        <v>346</v>
      </c>
      <c r="B34" s="17" t="s">
        <v>61</v>
      </c>
      <c r="C34" s="13" t="s">
        <v>347</v>
      </c>
      <c r="D34" s="13" t="s">
        <v>348</v>
      </c>
      <c r="E34" s="13" t="s">
        <v>349</v>
      </c>
      <c r="F34" s="13" t="s">
        <v>156</v>
      </c>
      <c r="G34" s="13" t="s">
        <v>130</v>
      </c>
      <c r="H34" s="13" t="s">
        <v>61</v>
      </c>
      <c r="I34" s="13" t="s">
        <v>277</v>
      </c>
      <c r="J34" s="13" t="s">
        <v>67</v>
      </c>
      <c r="K34" s="13" t="s">
        <v>66</v>
      </c>
      <c r="L34" s="13" t="s">
        <v>52</v>
      </c>
      <c r="M34" s="13" t="s">
        <v>297</v>
      </c>
      <c r="N34" s="13" t="s">
        <v>134</v>
      </c>
      <c r="O34" s="13" t="s">
        <v>350</v>
      </c>
      <c r="P34" s="15"/>
      <c r="Q34" s="15"/>
    </row>
    <row r="35" customFormat="false" ht="35.05" hidden="false" customHeight="false" outlineLevel="0" collapsed="false">
      <c r="A35" s="13" t="s">
        <v>351</v>
      </c>
      <c r="B35" s="17" t="s">
        <v>61</v>
      </c>
      <c r="C35" s="13" t="s">
        <v>352</v>
      </c>
      <c r="D35" s="13" t="s">
        <v>353</v>
      </c>
      <c r="E35" s="13" t="s">
        <v>354</v>
      </c>
      <c r="F35" s="13" t="s">
        <v>67</v>
      </c>
      <c r="G35" s="13" t="s">
        <v>130</v>
      </c>
      <c r="H35" s="13" t="s">
        <v>61</v>
      </c>
      <c r="I35" s="13" t="s">
        <v>277</v>
      </c>
      <c r="J35" s="13" t="s">
        <v>67</v>
      </c>
      <c r="K35" s="13" t="s">
        <v>66</v>
      </c>
      <c r="L35" s="13" t="s">
        <v>55</v>
      </c>
      <c r="M35" s="13" t="s">
        <v>355</v>
      </c>
      <c r="N35" s="13" t="s">
        <v>134</v>
      </c>
      <c r="O35" s="13" t="s">
        <v>356</v>
      </c>
      <c r="P35" s="15"/>
      <c r="Q35" s="15"/>
    </row>
    <row r="36" customFormat="false" ht="23.85" hidden="false" customHeight="false" outlineLevel="0" collapsed="false">
      <c r="A36" s="13" t="s">
        <v>357</v>
      </c>
      <c r="B36" s="17" t="s">
        <v>61</v>
      </c>
      <c r="C36" s="13" t="s">
        <v>358</v>
      </c>
      <c r="D36" s="13" t="s">
        <v>359</v>
      </c>
      <c r="E36" s="13" t="s">
        <v>360</v>
      </c>
      <c r="F36" s="13" t="s">
        <v>130</v>
      </c>
      <c r="G36" s="13" t="s">
        <v>156</v>
      </c>
      <c r="H36" s="13" t="s">
        <v>284</v>
      </c>
      <c r="I36" s="13" t="s">
        <v>277</v>
      </c>
      <c r="J36" s="13" t="s">
        <v>68</v>
      </c>
      <c r="K36" s="13" t="s">
        <v>66</v>
      </c>
      <c r="L36" s="13" t="s">
        <v>52</v>
      </c>
      <c r="M36" s="13" t="s">
        <v>285</v>
      </c>
      <c r="N36" s="13" t="s">
        <v>134</v>
      </c>
      <c r="O36" s="13" t="s">
        <v>361</v>
      </c>
      <c r="P36" s="15"/>
      <c r="Q36" s="15"/>
    </row>
    <row r="37" customFormat="false" ht="23.85" hidden="false" customHeight="false" outlineLevel="0" collapsed="false">
      <c r="A37" s="13" t="s">
        <v>362</v>
      </c>
      <c r="B37" s="17" t="s">
        <v>61</v>
      </c>
      <c r="C37" s="13" t="s">
        <v>363</v>
      </c>
      <c r="D37" s="13" t="s">
        <v>364</v>
      </c>
      <c r="E37" s="13" t="s">
        <v>365</v>
      </c>
      <c r="F37" s="13" t="s">
        <v>156</v>
      </c>
      <c r="G37" s="13" t="s">
        <v>130</v>
      </c>
      <c r="H37" s="13" t="s">
        <v>61</v>
      </c>
      <c r="I37" s="13" t="s">
        <v>277</v>
      </c>
      <c r="J37" s="13" t="s">
        <v>68</v>
      </c>
      <c r="K37" s="13" t="s">
        <v>66</v>
      </c>
      <c r="L37" s="13" t="s">
        <v>52</v>
      </c>
      <c r="M37" s="13" t="s">
        <v>297</v>
      </c>
      <c r="N37" s="13" t="s">
        <v>134</v>
      </c>
      <c r="O37" s="13" t="s">
        <v>366</v>
      </c>
      <c r="P37" s="15"/>
      <c r="Q37" s="15"/>
    </row>
    <row r="38" customFormat="false" ht="35.05" hidden="false" customHeight="false" outlineLevel="0" collapsed="false">
      <c r="A38" s="13" t="s">
        <v>367</v>
      </c>
      <c r="B38" s="17" t="s">
        <v>61</v>
      </c>
      <c r="C38" s="13" t="s">
        <v>368</v>
      </c>
      <c r="D38" s="13" t="s">
        <v>369</v>
      </c>
      <c r="E38" s="13" t="s">
        <v>370</v>
      </c>
      <c r="F38" s="13" t="s">
        <v>130</v>
      </c>
      <c r="G38" s="13" t="s">
        <v>371</v>
      </c>
      <c r="H38" s="13" t="s">
        <v>61</v>
      </c>
      <c r="I38" s="13" t="s">
        <v>328</v>
      </c>
      <c r="J38" s="13" t="s">
        <v>71</v>
      </c>
      <c r="K38" s="13" t="s">
        <v>66</v>
      </c>
      <c r="L38" s="13" t="s">
        <v>52</v>
      </c>
      <c r="M38" s="13" t="s">
        <v>285</v>
      </c>
      <c r="N38" s="13" t="s">
        <v>134</v>
      </c>
      <c r="O38" s="13" t="s">
        <v>372</v>
      </c>
      <c r="P38" s="15"/>
      <c r="Q38" s="15"/>
    </row>
    <row r="39" customFormat="false" ht="23.85" hidden="false" customHeight="false" outlineLevel="0" collapsed="false">
      <c r="A39" s="13" t="s">
        <v>373</v>
      </c>
      <c r="B39" s="17" t="s">
        <v>61</v>
      </c>
      <c r="C39" s="13" t="s">
        <v>374</v>
      </c>
      <c r="D39" s="13" t="s">
        <v>375</v>
      </c>
      <c r="E39" s="13" t="s">
        <v>376</v>
      </c>
      <c r="F39" s="13" t="s">
        <v>130</v>
      </c>
      <c r="G39" s="13" t="s">
        <v>156</v>
      </c>
      <c r="H39" s="13" t="s">
        <v>284</v>
      </c>
      <c r="I39" s="13" t="s">
        <v>277</v>
      </c>
      <c r="J39" s="13" t="s">
        <v>69</v>
      </c>
      <c r="K39" s="13" t="s">
        <v>66</v>
      </c>
      <c r="L39" s="13" t="s">
        <v>52</v>
      </c>
      <c r="M39" s="13" t="s">
        <v>309</v>
      </c>
      <c r="N39" s="13" t="s">
        <v>134</v>
      </c>
      <c r="O39" s="13" t="s">
        <v>377</v>
      </c>
      <c r="P39" s="15"/>
      <c r="Q39" s="15"/>
    </row>
    <row r="40" customFormat="false" ht="23.85" hidden="false" customHeight="false" outlineLevel="0" collapsed="false">
      <c r="A40" s="13" t="s">
        <v>378</v>
      </c>
      <c r="B40" s="17" t="s">
        <v>61</v>
      </c>
      <c r="C40" s="13" t="s">
        <v>379</v>
      </c>
      <c r="D40" s="13" t="s">
        <v>380</v>
      </c>
      <c r="E40" s="13" t="s">
        <v>381</v>
      </c>
      <c r="F40" s="13" t="s">
        <v>156</v>
      </c>
      <c r="G40" s="13" t="s">
        <v>130</v>
      </c>
      <c r="H40" s="13" t="s">
        <v>61</v>
      </c>
      <c r="I40" s="13" t="s">
        <v>277</v>
      </c>
      <c r="J40" s="13" t="s">
        <v>69</v>
      </c>
      <c r="K40" s="13" t="s">
        <v>66</v>
      </c>
      <c r="L40" s="13" t="s">
        <v>52</v>
      </c>
      <c r="M40" s="13"/>
      <c r="N40" s="13" t="s">
        <v>134</v>
      </c>
      <c r="O40" s="13" t="s">
        <v>382</v>
      </c>
      <c r="P40" s="15"/>
      <c r="Q40" s="15"/>
    </row>
    <row r="41" customFormat="false" ht="35.05" hidden="false" customHeight="false" outlineLevel="0" collapsed="false">
      <c r="A41" s="13" t="s">
        <v>383</v>
      </c>
      <c r="B41" s="17" t="s">
        <v>61</v>
      </c>
      <c r="C41" s="13" t="s">
        <v>384</v>
      </c>
      <c r="D41" s="13" t="s">
        <v>385</v>
      </c>
      <c r="E41" s="13" t="s">
        <v>386</v>
      </c>
      <c r="F41" s="13" t="s">
        <v>130</v>
      </c>
      <c r="G41" s="13" t="s">
        <v>387</v>
      </c>
      <c r="H41" s="13" t="s">
        <v>61</v>
      </c>
      <c r="I41" s="13" t="s">
        <v>328</v>
      </c>
      <c r="J41" s="13" t="s">
        <v>72</v>
      </c>
      <c r="K41" s="13" t="s">
        <v>388</v>
      </c>
      <c r="L41" s="13" t="s">
        <v>57</v>
      </c>
      <c r="M41" s="13" t="s">
        <v>389</v>
      </c>
      <c r="N41" s="13" t="s">
        <v>134</v>
      </c>
      <c r="O41" s="13" t="s">
        <v>390</v>
      </c>
      <c r="P41" s="15"/>
      <c r="Q41" s="15"/>
    </row>
    <row r="42" customFormat="false" ht="35.05" hidden="false" customHeight="false" outlineLevel="0" collapsed="false">
      <c r="A42" s="13" t="s">
        <v>391</v>
      </c>
      <c r="B42" s="17" t="s">
        <v>61</v>
      </c>
      <c r="C42" s="13" t="s">
        <v>392</v>
      </c>
      <c r="D42" s="13" t="s">
        <v>393</v>
      </c>
      <c r="E42" s="13" t="s">
        <v>394</v>
      </c>
      <c r="F42" s="13" t="s">
        <v>156</v>
      </c>
      <c r="G42" s="13" t="s">
        <v>130</v>
      </c>
      <c r="H42" s="13" t="s">
        <v>61</v>
      </c>
      <c r="I42" s="13" t="s">
        <v>277</v>
      </c>
      <c r="J42" s="13" t="s">
        <v>395</v>
      </c>
      <c r="K42" s="13" t="s">
        <v>66</v>
      </c>
      <c r="L42" s="13" t="s">
        <v>57</v>
      </c>
      <c r="M42" s="13" t="s">
        <v>297</v>
      </c>
      <c r="N42" s="13" t="s">
        <v>396</v>
      </c>
      <c r="O42" s="13" t="s">
        <v>397</v>
      </c>
      <c r="P42" s="15"/>
      <c r="Q42" s="15"/>
    </row>
    <row r="43" customFormat="false" ht="35.05" hidden="false" customHeight="false" outlineLevel="0" collapsed="false">
      <c r="A43" s="13" t="s">
        <v>398</v>
      </c>
      <c r="B43" s="18" t="s">
        <v>62</v>
      </c>
      <c r="C43" s="13" t="s">
        <v>399</v>
      </c>
      <c r="D43" s="13" t="s">
        <v>400</v>
      </c>
      <c r="E43" s="13" t="s">
        <v>401</v>
      </c>
      <c r="F43" s="13" t="s">
        <v>73</v>
      </c>
      <c r="G43" s="13" t="s">
        <v>73</v>
      </c>
      <c r="H43" s="13" t="s">
        <v>402</v>
      </c>
      <c r="I43" s="13" t="s">
        <v>230</v>
      </c>
      <c r="J43" s="13" t="s">
        <v>73</v>
      </c>
      <c r="K43" s="13" t="s">
        <v>66</v>
      </c>
      <c r="L43" s="13" t="s">
        <v>57</v>
      </c>
      <c r="M43" s="13" t="s">
        <v>403</v>
      </c>
      <c r="N43" s="13" t="s">
        <v>396</v>
      </c>
      <c r="O43" s="13" t="s">
        <v>404</v>
      </c>
      <c r="P43" s="15"/>
      <c r="Q43" s="15"/>
    </row>
    <row r="44" customFormat="false" ht="23.85" hidden="false" customHeight="false" outlineLevel="0" collapsed="false">
      <c r="A44" s="13" t="s">
        <v>405</v>
      </c>
      <c r="B44" s="18" t="s">
        <v>62</v>
      </c>
      <c r="C44" s="13" t="s">
        <v>406</v>
      </c>
      <c r="D44" s="13" t="s">
        <v>407</v>
      </c>
      <c r="E44" s="13" t="s">
        <v>408</v>
      </c>
      <c r="F44" s="13" t="s">
        <v>73</v>
      </c>
      <c r="G44" s="13" t="s">
        <v>73</v>
      </c>
      <c r="H44" s="13" t="s">
        <v>402</v>
      </c>
      <c r="I44" s="13" t="s">
        <v>409</v>
      </c>
      <c r="J44" s="13" t="s">
        <v>73</v>
      </c>
      <c r="K44" s="13" t="s">
        <v>66</v>
      </c>
      <c r="L44" s="13" t="s">
        <v>57</v>
      </c>
      <c r="M44" s="13" t="s">
        <v>410</v>
      </c>
      <c r="N44" s="13" t="s">
        <v>396</v>
      </c>
      <c r="O44" s="13" t="s">
        <v>411</v>
      </c>
      <c r="P44" s="15"/>
      <c r="Q44" s="15"/>
    </row>
    <row r="45" customFormat="false" ht="35.05" hidden="false" customHeight="false" outlineLevel="0" collapsed="false">
      <c r="A45" s="13" t="s">
        <v>412</v>
      </c>
      <c r="B45" s="18" t="s">
        <v>62</v>
      </c>
      <c r="C45" s="13" t="s">
        <v>413</v>
      </c>
      <c r="D45" s="13" t="s">
        <v>414</v>
      </c>
      <c r="E45" s="13" t="s">
        <v>415</v>
      </c>
      <c r="F45" s="13" t="s">
        <v>73</v>
      </c>
      <c r="G45" s="13" t="s">
        <v>73</v>
      </c>
      <c r="H45" s="13" t="s">
        <v>402</v>
      </c>
      <c r="I45" s="13" t="s">
        <v>277</v>
      </c>
      <c r="J45" s="13" t="s">
        <v>73</v>
      </c>
      <c r="K45" s="13" t="s">
        <v>66</v>
      </c>
      <c r="L45" s="13" t="s">
        <v>57</v>
      </c>
      <c r="M45" s="13" t="s">
        <v>285</v>
      </c>
      <c r="N45" s="13" t="s">
        <v>396</v>
      </c>
      <c r="O45" s="13" t="s">
        <v>416</v>
      </c>
      <c r="P45" s="15"/>
      <c r="Q45" s="15"/>
    </row>
    <row r="46" customFormat="false" ht="35.05" hidden="false" customHeight="false" outlineLevel="0" collapsed="false">
      <c r="A46" s="13" t="s">
        <v>417</v>
      </c>
      <c r="B46" s="18" t="s">
        <v>62</v>
      </c>
      <c r="C46" s="13" t="s">
        <v>418</v>
      </c>
      <c r="D46" s="13" t="s">
        <v>419</v>
      </c>
      <c r="E46" s="13" t="s">
        <v>420</v>
      </c>
      <c r="F46" s="13" t="s">
        <v>73</v>
      </c>
      <c r="G46" s="13" t="s">
        <v>73</v>
      </c>
      <c r="H46" s="13" t="s">
        <v>402</v>
      </c>
      <c r="I46" s="13" t="s">
        <v>201</v>
      </c>
      <c r="J46" s="13" t="s">
        <v>73</v>
      </c>
      <c r="K46" s="13" t="s">
        <v>66</v>
      </c>
      <c r="L46" s="13" t="s">
        <v>57</v>
      </c>
      <c r="M46" s="13" t="s">
        <v>421</v>
      </c>
      <c r="N46" s="13" t="s">
        <v>396</v>
      </c>
      <c r="O46" s="13" t="s">
        <v>422</v>
      </c>
      <c r="P46" s="15"/>
      <c r="Q46" s="15"/>
    </row>
    <row r="47" customFormat="false" ht="35.05" hidden="false" customHeight="false" outlineLevel="0" collapsed="false">
      <c r="A47" s="13" t="s">
        <v>423</v>
      </c>
      <c r="B47" s="18" t="s">
        <v>62</v>
      </c>
      <c r="C47" s="13" t="s">
        <v>424</v>
      </c>
      <c r="D47" s="13" t="s">
        <v>425</v>
      </c>
      <c r="E47" s="13" t="s">
        <v>426</v>
      </c>
      <c r="F47" s="13" t="s">
        <v>73</v>
      </c>
      <c r="G47" s="13" t="s">
        <v>73</v>
      </c>
      <c r="H47" s="13" t="s">
        <v>402</v>
      </c>
      <c r="I47" s="13" t="s">
        <v>230</v>
      </c>
      <c r="J47" s="13" t="s">
        <v>73</v>
      </c>
      <c r="K47" s="13" t="s">
        <v>66</v>
      </c>
      <c r="L47" s="13" t="s">
        <v>57</v>
      </c>
      <c r="M47" s="13"/>
      <c r="N47" s="13" t="s">
        <v>396</v>
      </c>
      <c r="O47" s="13" t="s">
        <v>427</v>
      </c>
      <c r="P47" s="15"/>
      <c r="Q47" s="15"/>
    </row>
    <row r="48" customFormat="false" ht="35.05" hidden="false" customHeight="false" outlineLevel="0" collapsed="false">
      <c r="A48" s="13" t="s">
        <v>428</v>
      </c>
      <c r="B48" s="18" t="s">
        <v>62</v>
      </c>
      <c r="C48" s="13" t="s">
        <v>429</v>
      </c>
      <c r="D48" s="13" t="s">
        <v>430</v>
      </c>
      <c r="E48" s="13" t="s">
        <v>431</v>
      </c>
      <c r="F48" s="13" t="s">
        <v>432</v>
      </c>
      <c r="G48" s="13" t="s">
        <v>156</v>
      </c>
      <c r="H48" s="13" t="s">
        <v>402</v>
      </c>
      <c r="I48" s="13" t="s">
        <v>208</v>
      </c>
      <c r="J48" s="13" t="s">
        <v>69</v>
      </c>
      <c r="K48" s="13" t="s">
        <v>66</v>
      </c>
      <c r="L48" s="13" t="s">
        <v>57</v>
      </c>
      <c r="M48" s="13" t="s">
        <v>243</v>
      </c>
      <c r="N48" s="13" t="s">
        <v>396</v>
      </c>
      <c r="O48" s="13" t="s">
        <v>433</v>
      </c>
      <c r="P48" s="15"/>
      <c r="Q48" s="15"/>
    </row>
    <row r="49" customFormat="false" ht="23.85" hidden="false" customHeight="false" outlineLevel="0" collapsed="false">
      <c r="A49" s="13" t="s">
        <v>264</v>
      </c>
      <c r="B49" s="18" t="s">
        <v>62</v>
      </c>
      <c r="C49" s="13" t="s">
        <v>434</v>
      </c>
      <c r="D49" s="13" t="s">
        <v>435</v>
      </c>
      <c r="E49" s="13" t="s">
        <v>436</v>
      </c>
      <c r="F49" s="13" t="s">
        <v>130</v>
      </c>
      <c r="G49" s="13" t="s">
        <v>156</v>
      </c>
      <c r="H49" s="13" t="s">
        <v>402</v>
      </c>
      <c r="I49" s="13" t="s">
        <v>208</v>
      </c>
      <c r="J49" s="13" t="s">
        <v>73</v>
      </c>
      <c r="K49" s="13" t="s">
        <v>66</v>
      </c>
      <c r="L49" s="13" t="s">
        <v>57</v>
      </c>
      <c r="M49" s="13" t="s">
        <v>437</v>
      </c>
      <c r="N49" s="13" t="s">
        <v>396</v>
      </c>
      <c r="O49" s="13" t="s">
        <v>438</v>
      </c>
      <c r="P49" s="15"/>
      <c r="Q49" s="15"/>
    </row>
    <row r="50" customFormat="false" ht="23.85" hidden="false" customHeight="false" outlineLevel="0" collapsed="false">
      <c r="A50" s="13" t="s">
        <v>439</v>
      </c>
      <c r="B50" s="18" t="s">
        <v>62</v>
      </c>
      <c r="C50" s="13" t="s">
        <v>440</v>
      </c>
      <c r="D50" s="13" t="s">
        <v>441</v>
      </c>
      <c r="E50" s="13" t="s">
        <v>199</v>
      </c>
      <c r="F50" s="13" t="s">
        <v>71</v>
      </c>
      <c r="G50" s="13" t="s">
        <v>442</v>
      </c>
      <c r="H50" s="13" t="s">
        <v>402</v>
      </c>
      <c r="I50" s="13" t="s">
        <v>230</v>
      </c>
      <c r="J50" s="13" t="s">
        <v>73</v>
      </c>
      <c r="K50" s="13" t="s">
        <v>66</v>
      </c>
      <c r="L50" s="13" t="s">
        <v>57</v>
      </c>
      <c r="M50" s="13" t="s">
        <v>243</v>
      </c>
      <c r="N50" s="13" t="s">
        <v>396</v>
      </c>
      <c r="O50" s="13" t="s">
        <v>443</v>
      </c>
      <c r="P50" s="15"/>
      <c r="Q50" s="15"/>
    </row>
    <row r="51" customFormat="false" ht="46.25" hidden="false" customHeight="false" outlineLevel="0" collapsed="false">
      <c r="A51" s="13" t="s">
        <v>444</v>
      </c>
      <c r="B51" s="19" t="s">
        <v>31</v>
      </c>
      <c r="C51" s="13" t="s">
        <v>445</v>
      </c>
      <c r="D51" s="13" t="s">
        <v>446</v>
      </c>
      <c r="E51" s="13" t="s">
        <v>447</v>
      </c>
      <c r="F51" s="13" t="s">
        <v>448</v>
      </c>
      <c r="G51" s="13" t="s">
        <v>449</v>
      </c>
      <c r="H51" s="13" t="s">
        <v>31</v>
      </c>
      <c r="I51" s="13" t="s">
        <v>173</v>
      </c>
      <c r="J51" s="13" t="s">
        <v>73</v>
      </c>
      <c r="K51" s="13" t="s">
        <v>66</v>
      </c>
      <c r="L51" s="13" t="s">
        <v>52</v>
      </c>
      <c r="M51" s="13" t="s">
        <v>450</v>
      </c>
      <c r="N51" s="13" t="s">
        <v>451</v>
      </c>
      <c r="O51" s="13" t="s">
        <v>452</v>
      </c>
      <c r="P51" s="15"/>
      <c r="Q51" s="15"/>
    </row>
    <row r="52" customFormat="false" ht="35.05" hidden="false" customHeight="false" outlineLevel="0" collapsed="false">
      <c r="A52" s="13" t="s">
        <v>453</v>
      </c>
      <c r="B52" s="19" t="s">
        <v>31</v>
      </c>
      <c r="C52" s="13" t="s">
        <v>454</v>
      </c>
      <c r="D52" s="13" t="s">
        <v>455</v>
      </c>
      <c r="E52" s="13" t="s">
        <v>456</v>
      </c>
      <c r="F52" s="13" t="s">
        <v>457</v>
      </c>
      <c r="G52" s="13" t="s">
        <v>448</v>
      </c>
      <c r="H52" s="13" t="s">
        <v>31</v>
      </c>
      <c r="I52" s="13" t="s">
        <v>173</v>
      </c>
      <c r="J52" s="13" t="s">
        <v>73</v>
      </c>
      <c r="K52" s="13" t="s">
        <v>66</v>
      </c>
      <c r="L52" s="13" t="s">
        <v>52</v>
      </c>
      <c r="M52" s="13" t="s">
        <v>458</v>
      </c>
      <c r="N52" s="13" t="s">
        <v>451</v>
      </c>
      <c r="O52" s="13" t="s">
        <v>459</v>
      </c>
      <c r="P52" s="15"/>
      <c r="Q52" s="15"/>
    </row>
    <row r="53" customFormat="false" ht="35.05" hidden="false" customHeight="false" outlineLevel="0" collapsed="false">
      <c r="A53" s="13" t="s">
        <v>460</v>
      </c>
      <c r="B53" s="19" t="s">
        <v>31</v>
      </c>
      <c r="C53" s="13" t="s">
        <v>461</v>
      </c>
      <c r="D53" s="13" t="s">
        <v>462</v>
      </c>
      <c r="E53" s="13" t="s">
        <v>456</v>
      </c>
      <c r="F53" s="13" t="s">
        <v>192</v>
      </c>
      <c r="G53" s="13" t="s">
        <v>449</v>
      </c>
      <c r="H53" s="13" t="s">
        <v>31</v>
      </c>
      <c r="I53" s="13" t="s">
        <v>173</v>
      </c>
      <c r="J53" s="13" t="s">
        <v>73</v>
      </c>
      <c r="K53" s="13" t="s">
        <v>66</v>
      </c>
      <c r="L53" s="13" t="s">
        <v>52</v>
      </c>
      <c r="M53" s="13"/>
      <c r="N53" s="13" t="s">
        <v>451</v>
      </c>
      <c r="O53" s="13" t="s">
        <v>463</v>
      </c>
      <c r="P53" s="15"/>
      <c r="Q53" s="15"/>
    </row>
    <row r="54" customFormat="false" ht="46.25" hidden="false" customHeight="false" outlineLevel="0" collapsed="false">
      <c r="A54" s="13" t="s">
        <v>464</v>
      </c>
      <c r="B54" s="19" t="s">
        <v>31</v>
      </c>
      <c r="C54" s="13" t="s">
        <v>465</v>
      </c>
      <c r="D54" s="13" t="s">
        <v>466</v>
      </c>
      <c r="E54" s="13" t="s">
        <v>456</v>
      </c>
      <c r="F54" s="13" t="s">
        <v>448</v>
      </c>
      <c r="G54" s="13" t="s">
        <v>457</v>
      </c>
      <c r="H54" s="13" t="s">
        <v>31</v>
      </c>
      <c r="I54" s="13" t="s">
        <v>173</v>
      </c>
      <c r="J54" s="13" t="s">
        <v>73</v>
      </c>
      <c r="K54" s="13" t="s">
        <v>66</v>
      </c>
      <c r="L54" s="13" t="s">
        <v>52</v>
      </c>
      <c r="M54" s="13" t="s">
        <v>467</v>
      </c>
      <c r="N54" s="13" t="s">
        <v>451</v>
      </c>
      <c r="O54" s="13" t="s">
        <v>468</v>
      </c>
      <c r="P54" s="15"/>
      <c r="Q54" s="15"/>
    </row>
    <row r="55" customFormat="false" ht="46.25" hidden="false" customHeight="false" outlineLevel="0" collapsed="false">
      <c r="A55" s="13" t="s">
        <v>469</v>
      </c>
      <c r="B55" s="19" t="s">
        <v>31</v>
      </c>
      <c r="C55" s="13" t="s">
        <v>470</v>
      </c>
      <c r="D55" s="13" t="s">
        <v>471</v>
      </c>
      <c r="E55" s="13" t="s">
        <v>472</v>
      </c>
      <c r="F55" s="13" t="s">
        <v>473</v>
      </c>
      <c r="G55" s="13" t="s">
        <v>474</v>
      </c>
      <c r="H55" s="13" t="s">
        <v>31</v>
      </c>
      <c r="I55" s="13" t="s">
        <v>201</v>
      </c>
      <c r="J55" s="13" t="s">
        <v>475</v>
      </c>
      <c r="K55" s="13" t="s">
        <v>66</v>
      </c>
      <c r="L55" s="13" t="s">
        <v>52</v>
      </c>
      <c r="M55" s="13" t="s">
        <v>458</v>
      </c>
      <c r="N55" s="13" t="s">
        <v>451</v>
      </c>
      <c r="O55" s="13" t="s">
        <v>476</v>
      </c>
      <c r="P55" s="15"/>
      <c r="Q55" s="15"/>
    </row>
    <row r="56" customFormat="false" ht="46.25" hidden="false" customHeight="false" outlineLevel="0" collapsed="false">
      <c r="A56" s="13" t="s">
        <v>477</v>
      </c>
      <c r="B56" s="19" t="s">
        <v>31</v>
      </c>
      <c r="C56" s="13" t="s">
        <v>478</v>
      </c>
      <c r="D56" s="13" t="s">
        <v>479</v>
      </c>
      <c r="E56" s="13" t="s">
        <v>480</v>
      </c>
      <c r="F56" s="13" t="s">
        <v>481</v>
      </c>
      <c r="G56" s="13" t="s">
        <v>482</v>
      </c>
      <c r="H56" s="13" t="s">
        <v>31</v>
      </c>
      <c r="I56" s="13" t="s">
        <v>277</v>
      </c>
      <c r="J56" s="13" t="s">
        <v>73</v>
      </c>
      <c r="K56" s="13" t="s">
        <v>66</v>
      </c>
      <c r="L56" s="13" t="s">
        <v>52</v>
      </c>
      <c r="M56" s="13" t="s">
        <v>483</v>
      </c>
      <c r="N56" s="13" t="s">
        <v>451</v>
      </c>
      <c r="O56" s="13" t="s">
        <v>484</v>
      </c>
      <c r="P56" s="15"/>
      <c r="Q56" s="15"/>
    </row>
    <row r="57" customFormat="false" ht="46.25" hidden="false" customHeight="false" outlineLevel="0" collapsed="false">
      <c r="A57" s="13" t="s">
        <v>485</v>
      </c>
      <c r="B57" s="19" t="s">
        <v>31</v>
      </c>
      <c r="C57" s="13" t="s">
        <v>486</v>
      </c>
      <c r="D57" s="13" t="s">
        <v>487</v>
      </c>
      <c r="E57" s="13" t="s">
        <v>488</v>
      </c>
      <c r="F57" s="13" t="s">
        <v>489</v>
      </c>
      <c r="G57" s="13" t="s">
        <v>490</v>
      </c>
      <c r="H57" s="13" t="s">
        <v>31</v>
      </c>
      <c r="I57" s="13" t="s">
        <v>208</v>
      </c>
      <c r="J57" s="13" t="s">
        <v>491</v>
      </c>
      <c r="K57" s="13" t="s">
        <v>66</v>
      </c>
      <c r="L57" s="13" t="s">
        <v>52</v>
      </c>
      <c r="M57" s="13"/>
      <c r="N57" s="13" t="s">
        <v>451</v>
      </c>
      <c r="O57" s="13" t="s">
        <v>492</v>
      </c>
      <c r="P57" s="15"/>
      <c r="Q57" s="15"/>
    </row>
  </sheetData>
  <autoFilter ref="A1:Q57"/>
  <dataValidations count="2">
    <dataValidation allowBlank="true" errorStyle="stop" operator="between" showDropDown="false" showErrorMessage="false" showInputMessage="false" sqref="K2:K57" type="list">
      <formula1>"Must,Should,Could,Won't"</formula1>
      <formula2>0</formula2>
    </dataValidation>
    <dataValidation allowBlank="true" errorStyle="stop" operator="between" showDropDown="false" showErrorMessage="false" showInputMessage="false" sqref="L2:L57" type="list">
      <formula1>"Draft,Handoff (outside J1 design scope),Requirement on NRS,Open,To confirm,Proposed,Agreed,Rejected"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30"/>
    <col collapsed="false" customWidth="true" hidden="false" outlineLevel="0" max="4" min="4" style="0" width="26"/>
    <col collapsed="false" customWidth="true" hidden="false" outlineLevel="0" max="5" min="5" style="0" width="32"/>
    <col collapsed="false" customWidth="true" hidden="false" outlineLevel="0" max="6" min="6" style="0" width="16"/>
    <col collapsed="false" customWidth="true" hidden="false" outlineLevel="0" max="7" min="7" style="0" width="20"/>
    <col collapsed="false" customWidth="true" hidden="false" outlineLevel="0" max="8" min="8" style="0" width="18"/>
    <col collapsed="false" customWidth="true" hidden="false" outlineLevel="0" max="9" min="9" style="0" width="36"/>
    <col collapsed="false" customWidth="true" hidden="false" outlineLevel="0" max="10" min="10" style="0" width="34"/>
    <col collapsed="false" customWidth="true" hidden="false" outlineLevel="0" max="11" min="11" style="0" width="28"/>
    <col collapsed="false" customWidth="true" hidden="false" outlineLevel="0" max="12" min="12" style="0" width="22"/>
  </cols>
  <sheetData>
    <row r="1" customFormat="false" ht="30" hidden="false" customHeight="true" outlineLevel="0" collapsed="false">
      <c r="A1" s="7" t="s">
        <v>111</v>
      </c>
      <c r="B1" s="7" t="s">
        <v>81</v>
      </c>
      <c r="C1" s="7" t="s">
        <v>493</v>
      </c>
      <c r="D1" s="7" t="s">
        <v>494</v>
      </c>
      <c r="E1" s="7" t="s">
        <v>495</v>
      </c>
      <c r="F1" s="7" t="s">
        <v>496</v>
      </c>
      <c r="G1" s="7" t="s">
        <v>497</v>
      </c>
      <c r="H1" s="7" t="s">
        <v>498</v>
      </c>
      <c r="I1" s="7" t="s">
        <v>499</v>
      </c>
      <c r="J1" s="7" t="s">
        <v>500</v>
      </c>
      <c r="K1" s="7" t="s">
        <v>501</v>
      </c>
      <c r="L1" s="7" t="s">
        <v>502</v>
      </c>
    </row>
    <row r="2" customFormat="false" ht="23.85" hidden="false" customHeight="false" outlineLevel="0" collapsed="false">
      <c r="A2" s="13" t="s">
        <v>503</v>
      </c>
      <c r="B2" s="13" t="s">
        <v>504</v>
      </c>
      <c r="C2" s="13" t="s">
        <v>505</v>
      </c>
      <c r="D2" s="13" t="s">
        <v>129</v>
      </c>
      <c r="E2" s="13" t="s">
        <v>506</v>
      </c>
      <c r="F2" s="13" t="s">
        <v>507</v>
      </c>
      <c r="G2" s="13" t="s">
        <v>132</v>
      </c>
      <c r="H2" s="13" t="s">
        <v>132</v>
      </c>
      <c r="I2" s="13" t="s">
        <v>508</v>
      </c>
      <c r="J2" s="13" t="s">
        <v>509</v>
      </c>
      <c r="K2" s="13" t="s">
        <v>510</v>
      </c>
      <c r="L2" s="13" t="s">
        <v>511</v>
      </c>
    </row>
    <row r="3" customFormat="false" ht="15" hidden="false" customHeight="false" outlineLevel="0" collapsed="false">
      <c r="A3" s="13" t="s">
        <v>512</v>
      </c>
      <c r="B3" s="13" t="s">
        <v>513</v>
      </c>
      <c r="C3" s="13" t="s">
        <v>514</v>
      </c>
      <c r="D3" s="13" t="s">
        <v>321</v>
      </c>
      <c r="E3" s="13" t="s">
        <v>129</v>
      </c>
      <c r="F3" s="13" t="s">
        <v>515</v>
      </c>
      <c r="G3" s="13" t="s">
        <v>516</v>
      </c>
      <c r="H3" s="13" t="s">
        <v>517</v>
      </c>
      <c r="I3" s="13" t="s">
        <v>518</v>
      </c>
      <c r="J3" s="13" t="s">
        <v>519</v>
      </c>
      <c r="K3" s="13" t="s">
        <v>520</v>
      </c>
      <c r="L3" s="13" t="s">
        <v>520</v>
      </c>
    </row>
    <row r="4" customFormat="false" ht="15" hidden="false" customHeight="false" outlineLevel="0" collapsed="false">
      <c r="A4" s="13" t="s">
        <v>521</v>
      </c>
      <c r="B4" s="13" t="s">
        <v>522</v>
      </c>
      <c r="C4" s="13" t="s">
        <v>523</v>
      </c>
      <c r="D4" s="13" t="s">
        <v>321</v>
      </c>
      <c r="E4" s="13" t="s">
        <v>129</v>
      </c>
      <c r="F4" s="13" t="s">
        <v>524</v>
      </c>
      <c r="G4" s="13" t="s">
        <v>516</v>
      </c>
      <c r="H4" s="13" t="s">
        <v>517</v>
      </c>
      <c r="I4" s="13" t="s">
        <v>525</v>
      </c>
      <c r="J4" s="13" t="s">
        <v>519</v>
      </c>
      <c r="K4" s="13" t="s">
        <v>520</v>
      </c>
      <c r="L4" s="13" t="s">
        <v>520</v>
      </c>
    </row>
    <row r="5" customFormat="false" ht="15" hidden="false" customHeight="false" outlineLevel="0" collapsed="false">
      <c r="A5" s="13" t="s">
        <v>526</v>
      </c>
      <c r="B5" s="13" t="s">
        <v>527</v>
      </c>
      <c r="C5" s="13" t="s">
        <v>528</v>
      </c>
      <c r="D5" s="13" t="s">
        <v>129</v>
      </c>
      <c r="E5" s="13" t="s">
        <v>529</v>
      </c>
      <c r="F5" s="13" t="s">
        <v>530</v>
      </c>
      <c r="G5" s="13" t="s">
        <v>132</v>
      </c>
      <c r="H5" s="13" t="s">
        <v>132</v>
      </c>
      <c r="I5" s="13" t="s">
        <v>531</v>
      </c>
      <c r="J5" s="13" t="s">
        <v>509</v>
      </c>
      <c r="K5" s="13" t="s">
        <v>510</v>
      </c>
      <c r="L5" s="13" t="s">
        <v>532</v>
      </c>
    </row>
    <row r="6" customFormat="false" ht="15" hidden="false" customHeight="false" outlineLevel="0" collapsed="false">
      <c r="A6" s="13" t="s">
        <v>533</v>
      </c>
      <c r="B6" s="13" t="s">
        <v>534</v>
      </c>
      <c r="C6" s="13" t="s">
        <v>535</v>
      </c>
      <c r="D6" s="13" t="s">
        <v>249</v>
      </c>
      <c r="E6" s="13" t="s">
        <v>536</v>
      </c>
      <c r="F6" s="13" t="s">
        <v>537</v>
      </c>
      <c r="G6" s="13" t="s">
        <v>516</v>
      </c>
      <c r="H6" s="13" t="s">
        <v>517</v>
      </c>
      <c r="I6" s="13" t="s">
        <v>538</v>
      </c>
      <c r="J6" s="13" t="s">
        <v>519</v>
      </c>
      <c r="K6" s="13" t="s">
        <v>520</v>
      </c>
      <c r="L6" s="13" t="s">
        <v>520</v>
      </c>
    </row>
    <row r="7" customFormat="false" ht="23.85" hidden="false" customHeight="false" outlineLevel="0" collapsed="false">
      <c r="A7" s="13" t="s">
        <v>539</v>
      </c>
      <c r="B7" s="13" t="s">
        <v>540</v>
      </c>
      <c r="C7" s="13" t="s">
        <v>541</v>
      </c>
      <c r="D7" s="13" t="s">
        <v>536</v>
      </c>
      <c r="E7" s="13" t="s">
        <v>156</v>
      </c>
      <c r="F7" s="13" t="s">
        <v>542</v>
      </c>
      <c r="G7" s="13" t="s">
        <v>543</v>
      </c>
      <c r="H7" s="13" t="s">
        <v>543</v>
      </c>
      <c r="I7" s="13" t="s">
        <v>544</v>
      </c>
      <c r="J7" s="13" t="s">
        <v>509</v>
      </c>
      <c r="K7" s="13" t="s">
        <v>545</v>
      </c>
      <c r="L7" s="13" t="s">
        <v>546</v>
      </c>
    </row>
    <row r="8" customFormat="false" ht="23.85" hidden="false" customHeight="false" outlineLevel="0" collapsed="false">
      <c r="A8" s="13" t="s">
        <v>547</v>
      </c>
      <c r="B8" s="13" t="s">
        <v>548</v>
      </c>
      <c r="C8" s="13" t="s">
        <v>549</v>
      </c>
      <c r="D8" s="13" t="s">
        <v>249</v>
      </c>
      <c r="E8" s="13" t="s">
        <v>250</v>
      </c>
      <c r="F8" s="13" t="s">
        <v>550</v>
      </c>
      <c r="G8" s="13" t="s">
        <v>543</v>
      </c>
      <c r="H8" s="13" t="s">
        <v>543</v>
      </c>
      <c r="I8" s="13" t="s">
        <v>551</v>
      </c>
      <c r="J8" s="13" t="s">
        <v>552</v>
      </c>
      <c r="K8" s="13" t="s">
        <v>553</v>
      </c>
      <c r="L8" s="13" t="s">
        <v>546</v>
      </c>
    </row>
    <row r="9" customFormat="false" ht="23.85" hidden="false" customHeight="false" outlineLevel="0" collapsed="false">
      <c r="A9" s="13" t="s">
        <v>554</v>
      </c>
      <c r="B9" s="13" t="s">
        <v>257</v>
      </c>
      <c r="C9" s="13" t="s">
        <v>555</v>
      </c>
      <c r="D9" s="13" t="s">
        <v>156</v>
      </c>
      <c r="E9" s="13" t="s">
        <v>257</v>
      </c>
      <c r="F9" s="13" t="s">
        <v>556</v>
      </c>
      <c r="G9" s="13" t="s">
        <v>543</v>
      </c>
      <c r="H9" s="13" t="s">
        <v>557</v>
      </c>
      <c r="I9" s="13" t="s">
        <v>558</v>
      </c>
      <c r="J9" s="13" t="s">
        <v>559</v>
      </c>
      <c r="K9" s="13" t="s">
        <v>560</v>
      </c>
      <c r="L9" s="13" t="s">
        <v>520</v>
      </c>
    </row>
    <row r="10" customFormat="false" ht="15" hidden="false" customHeight="false" outlineLevel="0" collapsed="false">
      <c r="A10" s="13" t="s">
        <v>561</v>
      </c>
      <c r="B10" s="13" t="s">
        <v>562</v>
      </c>
      <c r="C10" s="13" t="s">
        <v>563</v>
      </c>
      <c r="D10" s="13" t="s">
        <v>249</v>
      </c>
      <c r="E10" s="13" t="s">
        <v>536</v>
      </c>
      <c r="F10" s="13" t="s">
        <v>564</v>
      </c>
      <c r="G10" s="13" t="s">
        <v>516</v>
      </c>
      <c r="H10" s="13" t="s">
        <v>517</v>
      </c>
      <c r="I10" s="13" t="s">
        <v>565</v>
      </c>
      <c r="J10" s="13" t="s">
        <v>519</v>
      </c>
      <c r="K10" s="13" t="s">
        <v>520</v>
      </c>
      <c r="L10" s="13" t="s">
        <v>520</v>
      </c>
    </row>
    <row r="11" customFormat="false" ht="23.85" hidden="false" customHeight="false" outlineLevel="0" collapsed="false">
      <c r="A11" s="13" t="s">
        <v>566</v>
      </c>
      <c r="B11" s="13" t="s">
        <v>567</v>
      </c>
      <c r="C11" s="13" t="s">
        <v>563</v>
      </c>
      <c r="D11" s="13" t="s">
        <v>536</v>
      </c>
      <c r="E11" s="13" t="s">
        <v>568</v>
      </c>
      <c r="F11" s="13" t="s">
        <v>569</v>
      </c>
      <c r="G11" s="13" t="s">
        <v>132</v>
      </c>
      <c r="H11" s="13" t="s">
        <v>132</v>
      </c>
      <c r="I11" s="13" t="s">
        <v>570</v>
      </c>
      <c r="J11" s="13" t="s">
        <v>509</v>
      </c>
      <c r="K11" s="13" t="s">
        <v>571</v>
      </c>
      <c r="L11" s="13" t="s">
        <v>572</v>
      </c>
    </row>
    <row r="12" customFormat="false" ht="15" hidden="false" customHeight="false" outlineLevel="0" collapsed="false">
      <c r="A12" s="13" t="s">
        <v>573</v>
      </c>
      <c r="B12" s="13" t="s">
        <v>574</v>
      </c>
      <c r="C12" s="13" t="s">
        <v>575</v>
      </c>
      <c r="D12" s="13" t="s">
        <v>576</v>
      </c>
      <c r="E12" s="13" t="s">
        <v>577</v>
      </c>
      <c r="F12" s="13" t="s">
        <v>578</v>
      </c>
      <c r="G12" s="13" t="s">
        <v>579</v>
      </c>
      <c r="H12" s="13" t="s">
        <v>543</v>
      </c>
      <c r="I12" s="13" t="s">
        <v>580</v>
      </c>
      <c r="J12" s="13" t="s">
        <v>509</v>
      </c>
      <c r="K12" s="13" t="s">
        <v>581</v>
      </c>
      <c r="L12" s="13" t="s">
        <v>582</v>
      </c>
    </row>
    <row r="13" customFormat="false" ht="15" hidden="false" customHeight="false" outlineLevel="0" collapsed="false">
      <c r="A13" s="13" t="s">
        <v>583</v>
      </c>
      <c r="B13" s="13" t="s">
        <v>584</v>
      </c>
      <c r="C13" s="13" t="s">
        <v>585</v>
      </c>
      <c r="D13" s="13" t="s">
        <v>576</v>
      </c>
      <c r="E13" s="13" t="s">
        <v>586</v>
      </c>
      <c r="F13" s="13" t="s">
        <v>587</v>
      </c>
      <c r="G13" s="13" t="s">
        <v>579</v>
      </c>
      <c r="H13" s="13" t="s">
        <v>543</v>
      </c>
      <c r="I13" s="13" t="s">
        <v>588</v>
      </c>
      <c r="J13" s="13" t="s">
        <v>509</v>
      </c>
      <c r="K13" s="13" t="s">
        <v>581</v>
      </c>
      <c r="L13" s="13" t="s">
        <v>589</v>
      </c>
    </row>
    <row r="14" customFormat="false" ht="23.85" hidden="false" customHeight="false" outlineLevel="0" collapsed="false">
      <c r="A14" s="13" t="s">
        <v>590</v>
      </c>
      <c r="B14" s="13" t="s">
        <v>591</v>
      </c>
      <c r="C14" s="13" t="s">
        <v>592</v>
      </c>
      <c r="D14" s="13" t="s">
        <v>156</v>
      </c>
      <c r="E14" s="13" t="s">
        <v>291</v>
      </c>
      <c r="F14" s="13" t="s">
        <v>593</v>
      </c>
      <c r="G14" s="13" t="s">
        <v>543</v>
      </c>
      <c r="H14" s="13" t="s">
        <v>543</v>
      </c>
      <c r="I14" s="13" t="s">
        <v>594</v>
      </c>
      <c r="J14" s="13" t="s">
        <v>595</v>
      </c>
      <c r="K14" s="13" t="s">
        <v>560</v>
      </c>
      <c r="L14" s="13" t="s">
        <v>520</v>
      </c>
    </row>
    <row r="15" customFormat="false" ht="15" hidden="false" customHeight="false" outlineLevel="0" collapsed="false">
      <c r="A15" s="13" t="s">
        <v>596</v>
      </c>
      <c r="B15" s="13" t="s">
        <v>205</v>
      </c>
      <c r="C15" s="13" t="s">
        <v>205</v>
      </c>
      <c r="D15" s="13" t="s">
        <v>156</v>
      </c>
      <c r="E15" s="13" t="s">
        <v>146</v>
      </c>
      <c r="F15" s="13" t="s">
        <v>597</v>
      </c>
      <c r="G15" s="13" t="s">
        <v>543</v>
      </c>
      <c r="H15" s="13" t="s">
        <v>543</v>
      </c>
      <c r="I15" s="13" t="s">
        <v>598</v>
      </c>
      <c r="J15" s="13" t="s">
        <v>509</v>
      </c>
      <c r="K15" s="13" t="s">
        <v>560</v>
      </c>
      <c r="L15" s="13" t="s">
        <v>599</v>
      </c>
    </row>
    <row r="16" customFormat="false" ht="23.85" hidden="false" customHeight="false" outlineLevel="0" collapsed="false">
      <c r="A16" s="13" t="s">
        <v>600</v>
      </c>
      <c r="B16" s="13" t="s">
        <v>601</v>
      </c>
      <c r="C16" s="13" t="s">
        <v>602</v>
      </c>
      <c r="D16" s="13" t="s">
        <v>576</v>
      </c>
      <c r="E16" s="13" t="s">
        <v>72</v>
      </c>
      <c r="F16" s="13" t="s">
        <v>603</v>
      </c>
      <c r="G16" s="13" t="s">
        <v>132</v>
      </c>
      <c r="H16" s="13" t="s">
        <v>132</v>
      </c>
      <c r="I16" s="13" t="s">
        <v>604</v>
      </c>
      <c r="J16" s="13" t="s">
        <v>509</v>
      </c>
      <c r="K16" s="13" t="s">
        <v>581</v>
      </c>
      <c r="L16" s="13" t="s">
        <v>605</v>
      </c>
    </row>
  </sheetData>
  <autoFilter ref="A1:L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0"/>
    <col collapsed="false" customWidth="true" hidden="false" outlineLevel="0" max="3" min="3" style="0" width="30"/>
    <col collapsed="false" customWidth="true" hidden="false" outlineLevel="0" max="4" min="4" style="0" width="50"/>
    <col collapsed="false" customWidth="true" hidden="false" outlineLevel="0" max="5" min="5" style="0" width="22"/>
    <col collapsed="false" customWidth="true" hidden="false" outlineLevel="0" max="6" min="6" style="0" width="40"/>
  </cols>
  <sheetData>
    <row r="1" customFormat="false" ht="30" hidden="false" customHeight="true" outlineLevel="0" collapsed="false">
      <c r="A1" s="7" t="s">
        <v>606</v>
      </c>
      <c r="B1" s="7" t="s">
        <v>607</v>
      </c>
      <c r="C1" s="7" t="s">
        <v>608</v>
      </c>
      <c r="D1" s="7" t="s">
        <v>609</v>
      </c>
      <c r="E1" s="7" t="s">
        <v>610</v>
      </c>
      <c r="F1" s="7" t="s">
        <v>611</v>
      </c>
    </row>
    <row r="2" customFormat="false" ht="15" hidden="false" customHeight="false" outlineLevel="0" collapsed="false">
      <c r="A2" s="13" t="s">
        <v>510</v>
      </c>
      <c r="B2" s="13" t="s">
        <v>612</v>
      </c>
      <c r="C2" s="13" t="s">
        <v>613</v>
      </c>
      <c r="D2" s="13" t="s">
        <v>614</v>
      </c>
      <c r="E2" s="13" t="s">
        <v>615</v>
      </c>
      <c r="F2" s="13" t="s">
        <v>616</v>
      </c>
    </row>
    <row r="3" customFormat="false" ht="15" hidden="false" customHeight="false" outlineLevel="0" collapsed="false">
      <c r="A3" s="13" t="s">
        <v>571</v>
      </c>
      <c r="B3" s="13" t="s">
        <v>536</v>
      </c>
      <c r="C3" s="13" t="s">
        <v>613</v>
      </c>
      <c r="D3" s="13" t="s">
        <v>617</v>
      </c>
      <c r="E3" s="13" t="s">
        <v>615</v>
      </c>
      <c r="F3" s="13" t="s">
        <v>618</v>
      </c>
    </row>
    <row r="4" customFormat="false" ht="23.85" hidden="false" customHeight="false" outlineLevel="0" collapsed="false">
      <c r="A4" s="13" t="s">
        <v>581</v>
      </c>
      <c r="B4" s="13" t="s">
        <v>576</v>
      </c>
      <c r="C4" s="13" t="s">
        <v>613</v>
      </c>
      <c r="D4" s="13" t="s">
        <v>619</v>
      </c>
      <c r="E4" s="13" t="s">
        <v>620</v>
      </c>
      <c r="F4" s="13" t="s">
        <v>621</v>
      </c>
    </row>
    <row r="5" customFormat="false" ht="23.85" hidden="false" customHeight="false" outlineLevel="0" collapsed="false">
      <c r="A5" s="13" t="s">
        <v>622</v>
      </c>
      <c r="B5" s="13" t="s">
        <v>623</v>
      </c>
      <c r="C5" s="13" t="s">
        <v>624</v>
      </c>
      <c r="D5" s="13" t="s">
        <v>625</v>
      </c>
      <c r="E5" s="13" t="s">
        <v>581</v>
      </c>
      <c r="F5" s="13" t="s">
        <v>626</v>
      </c>
    </row>
    <row r="6" customFormat="false" ht="15" hidden="false" customHeight="false" outlineLevel="0" collapsed="false">
      <c r="A6" s="13" t="s">
        <v>627</v>
      </c>
      <c r="B6" s="13" t="s">
        <v>628</v>
      </c>
      <c r="C6" s="13" t="s">
        <v>624</v>
      </c>
      <c r="D6" s="13" t="s">
        <v>629</v>
      </c>
      <c r="E6" s="13" t="s">
        <v>630</v>
      </c>
      <c r="F6" s="13" t="s">
        <v>631</v>
      </c>
    </row>
    <row r="7" customFormat="false" ht="23.85" hidden="false" customHeight="false" outlineLevel="0" collapsed="false">
      <c r="A7" s="13" t="s">
        <v>632</v>
      </c>
      <c r="B7" s="13" t="s">
        <v>633</v>
      </c>
      <c r="C7" s="13" t="s">
        <v>624</v>
      </c>
      <c r="D7" s="13" t="s">
        <v>605</v>
      </c>
      <c r="E7" s="13" t="s">
        <v>634</v>
      </c>
      <c r="F7" s="13" t="s">
        <v>600</v>
      </c>
    </row>
    <row r="8" customFormat="false" ht="15" hidden="false" customHeight="false" outlineLevel="0" collapsed="false">
      <c r="A8" s="13" t="s">
        <v>560</v>
      </c>
      <c r="B8" s="13" t="s">
        <v>156</v>
      </c>
      <c r="C8" s="13" t="s">
        <v>613</v>
      </c>
      <c r="D8" s="13" t="s">
        <v>635</v>
      </c>
      <c r="E8" s="13" t="s">
        <v>636</v>
      </c>
      <c r="F8" s="13" t="s">
        <v>637</v>
      </c>
    </row>
    <row r="9" customFormat="false" ht="15" hidden="false" customHeight="false" outlineLevel="0" collapsed="false">
      <c r="A9" s="13" t="s">
        <v>638</v>
      </c>
      <c r="B9" s="13" t="s">
        <v>639</v>
      </c>
      <c r="C9" s="13" t="s">
        <v>640</v>
      </c>
      <c r="D9" s="13" t="s">
        <v>641</v>
      </c>
      <c r="E9" s="13" t="s">
        <v>642</v>
      </c>
      <c r="F9" s="13" t="s">
        <v>351</v>
      </c>
    </row>
    <row r="11" customFormat="false" ht="15" hidden="false" customHeight="false" outlineLevel="0" collapsed="false">
      <c r="A11" s="20" t="s">
        <v>643</v>
      </c>
    </row>
    <row r="12" customFormat="false" ht="15" hidden="false" customHeight="false" outlineLevel="0" collapsed="false">
      <c r="A12" s="12" t="s">
        <v>644</v>
      </c>
      <c r="B12" s="12" t="s">
        <v>645</v>
      </c>
      <c r="C12" s="12" t="s">
        <v>646</v>
      </c>
      <c r="D12" s="12" t="s">
        <v>502</v>
      </c>
      <c r="E12" s="12" t="s">
        <v>647</v>
      </c>
    </row>
    <row r="13" customFormat="false" ht="46.25" hidden="false" customHeight="false" outlineLevel="0" collapsed="false">
      <c r="A13" s="13" t="s">
        <v>503</v>
      </c>
      <c r="B13" s="13" t="s">
        <v>509</v>
      </c>
      <c r="C13" s="13" t="s">
        <v>510</v>
      </c>
      <c r="D13" s="13" t="s">
        <v>511</v>
      </c>
      <c r="E13" s="13" t="s">
        <v>648</v>
      </c>
    </row>
    <row r="14" customFormat="false" ht="23.85" hidden="false" customHeight="false" outlineLevel="0" collapsed="false">
      <c r="A14" s="13" t="s">
        <v>512</v>
      </c>
      <c r="B14" s="13" t="s">
        <v>519</v>
      </c>
      <c r="C14" s="13" t="s">
        <v>520</v>
      </c>
      <c r="D14" s="13" t="s">
        <v>520</v>
      </c>
      <c r="E14" s="13" t="s">
        <v>649</v>
      </c>
    </row>
    <row r="15" customFormat="false" ht="23.85" hidden="false" customHeight="false" outlineLevel="0" collapsed="false">
      <c r="A15" s="13" t="s">
        <v>521</v>
      </c>
      <c r="B15" s="13" t="s">
        <v>519</v>
      </c>
      <c r="C15" s="13" t="s">
        <v>520</v>
      </c>
      <c r="D15" s="13" t="s">
        <v>520</v>
      </c>
      <c r="E15" s="13" t="s">
        <v>649</v>
      </c>
    </row>
    <row r="16" customFormat="false" ht="35.05" hidden="false" customHeight="false" outlineLevel="0" collapsed="false">
      <c r="A16" s="13" t="s">
        <v>526</v>
      </c>
      <c r="B16" s="13" t="s">
        <v>509</v>
      </c>
      <c r="C16" s="13" t="s">
        <v>510</v>
      </c>
      <c r="D16" s="13" t="s">
        <v>532</v>
      </c>
      <c r="E16" s="13" t="s">
        <v>650</v>
      </c>
    </row>
    <row r="17" customFormat="false" ht="23.85" hidden="false" customHeight="false" outlineLevel="0" collapsed="false">
      <c r="A17" s="13" t="s">
        <v>533</v>
      </c>
      <c r="B17" s="13" t="s">
        <v>519</v>
      </c>
      <c r="C17" s="13" t="s">
        <v>520</v>
      </c>
      <c r="D17" s="13" t="s">
        <v>520</v>
      </c>
      <c r="E17" s="13" t="s">
        <v>651</v>
      </c>
    </row>
    <row r="18" customFormat="false" ht="23.85" hidden="false" customHeight="false" outlineLevel="0" collapsed="false">
      <c r="A18" s="13" t="s">
        <v>539</v>
      </c>
      <c r="B18" s="13" t="s">
        <v>509</v>
      </c>
      <c r="C18" s="13" t="s">
        <v>545</v>
      </c>
      <c r="D18" s="13" t="s">
        <v>546</v>
      </c>
      <c r="E18" s="13" t="s">
        <v>652</v>
      </c>
    </row>
    <row r="19" customFormat="false" ht="23.85" hidden="false" customHeight="false" outlineLevel="0" collapsed="false">
      <c r="A19" s="13" t="s">
        <v>547</v>
      </c>
      <c r="B19" s="13" t="s">
        <v>552</v>
      </c>
      <c r="C19" s="13" t="s">
        <v>553</v>
      </c>
      <c r="D19" s="13" t="s">
        <v>546</v>
      </c>
      <c r="E19" s="13" t="s">
        <v>653</v>
      </c>
    </row>
    <row r="20" customFormat="false" ht="15" hidden="false" customHeight="false" outlineLevel="0" collapsed="false">
      <c r="A20" s="13" t="s">
        <v>554</v>
      </c>
      <c r="B20" s="13" t="s">
        <v>559</v>
      </c>
      <c r="C20" s="13" t="s">
        <v>560</v>
      </c>
      <c r="D20" s="13" t="s">
        <v>520</v>
      </c>
      <c r="E20" s="13" t="s">
        <v>654</v>
      </c>
    </row>
    <row r="21" customFormat="false" ht="23.85" hidden="false" customHeight="false" outlineLevel="0" collapsed="false">
      <c r="A21" s="13" t="s">
        <v>561</v>
      </c>
      <c r="B21" s="13" t="s">
        <v>519</v>
      </c>
      <c r="C21" s="13" t="s">
        <v>520</v>
      </c>
      <c r="D21" s="13" t="s">
        <v>520</v>
      </c>
      <c r="E21" s="13" t="s">
        <v>655</v>
      </c>
    </row>
    <row r="22" customFormat="false" ht="35.05" hidden="false" customHeight="false" outlineLevel="0" collapsed="false">
      <c r="A22" s="13" t="s">
        <v>566</v>
      </c>
      <c r="B22" s="13" t="s">
        <v>509</v>
      </c>
      <c r="C22" s="13" t="s">
        <v>571</v>
      </c>
      <c r="D22" s="13" t="s">
        <v>572</v>
      </c>
      <c r="E22" s="13" t="s">
        <v>650</v>
      </c>
    </row>
    <row r="23" customFormat="false" ht="35.05" hidden="false" customHeight="false" outlineLevel="0" collapsed="false">
      <c r="A23" s="13" t="s">
        <v>573</v>
      </c>
      <c r="B23" s="13" t="s">
        <v>509</v>
      </c>
      <c r="C23" s="13" t="s">
        <v>581</v>
      </c>
      <c r="D23" s="13" t="s">
        <v>582</v>
      </c>
      <c r="E23" s="13" t="s">
        <v>656</v>
      </c>
    </row>
    <row r="24" customFormat="false" ht="35.05" hidden="false" customHeight="false" outlineLevel="0" collapsed="false">
      <c r="A24" s="13" t="s">
        <v>583</v>
      </c>
      <c r="B24" s="13" t="s">
        <v>509</v>
      </c>
      <c r="C24" s="13" t="s">
        <v>581</v>
      </c>
      <c r="D24" s="13" t="s">
        <v>589</v>
      </c>
      <c r="E24" s="13" t="s">
        <v>656</v>
      </c>
    </row>
    <row r="25" customFormat="false" ht="35.05" hidden="false" customHeight="false" outlineLevel="0" collapsed="false">
      <c r="A25" s="13" t="s">
        <v>590</v>
      </c>
      <c r="B25" s="13" t="s">
        <v>595</v>
      </c>
      <c r="C25" s="13" t="s">
        <v>560</v>
      </c>
      <c r="D25" s="13" t="s">
        <v>520</v>
      </c>
      <c r="E25" s="13" t="s">
        <v>657</v>
      </c>
    </row>
    <row r="26" customFormat="false" ht="15" hidden="false" customHeight="false" outlineLevel="0" collapsed="false">
      <c r="A26" s="13" t="s">
        <v>596</v>
      </c>
      <c r="B26" s="13" t="s">
        <v>509</v>
      </c>
      <c r="C26" s="13" t="s">
        <v>560</v>
      </c>
      <c r="D26" s="13" t="s">
        <v>599</v>
      </c>
      <c r="E26" s="13" t="s">
        <v>658</v>
      </c>
    </row>
    <row r="27" customFormat="false" ht="46.25" hidden="false" customHeight="false" outlineLevel="0" collapsed="false">
      <c r="A27" s="13" t="s">
        <v>600</v>
      </c>
      <c r="B27" s="13" t="s">
        <v>509</v>
      </c>
      <c r="C27" s="13" t="s">
        <v>581</v>
      </c>
      <c r="D27" s="13" t="s">
        <v>605</v>
      </c>
      <c r="E27" s="13" t="s">
        <v>659</v>
      </c>
    </row>
    <row r="30" customFormat="false" ht="15" hidden="false" customHeight="false" outlineLevel="0" collapsed="false">
      <c r="A30" s="20" t="s">
        <v>660</v>
      </c>
    </row>
    <row r="31" customFormat="false" ht="15" hidden="false" customHeight="false" outlineLevel="0" collapsed="false">
      <c r="A31" s="12" t="s">
        <v>661</v>
      </c>
      <c r="B31" s="12" t="s">
        <v>662</v>
      </c>
      <c r="C31" s="12" t="s">
        <v>663</v>
      </c>
    </row>
    <row r="32" customFormat="false" ht="23.85" hidden="false" customHeight="false" outlineLevel="0" collapsed="false">
      <c r="A32" s="13" t="s">
        <v>664</v>
      </c>
      <c r="B32" s="13" t="s">
        <v>665</v>
      </c>
      <c r="C32" s="13" t="s">
        <v>666</v>
      </c>
    </row>
    <row r="33" customFormat="false" ht="15" hidden="false" customHeight="false" outlineLevel="0" collapsed="false">
      <c r="A33" s="13" t="s">
        <v>667</v>
      </c>
      <c r="B33" s="13" t="s">
        <v>668</v>
      </c>
      <c r="C33" s="13" t="s">
        <v>666</v>
      </c>
    </row>
    <row r="34" customFormat="false" ht="15" hidden="false" customHeight="false" outlineLevel="0" collapsed="false">
      <c r="A34" s="13" t="s">
        <v>669</v>
      </c>
      <c r="B34" s="13" t="s">
        <v>670</v>
      </c>
      <c r="C34" s="13" t="s">
        <v>666</v>
      </c>
    </row>
    <row r="35" customFormat="false" ht="23.85" hidden="false" customHeight="false" outlineLevel="0" collapsed="false">
      <c r="A35" s="13" t="s">
        <v>671</v>
      </c>
      <c r="B35" s="13" t="s">
        <v>672</v>
      </c>
      <c r="C35" s="13" t="s">
        <v>666</v>
      </c>
    </row>
    <row r="36" customFormat="false" ht="23.85" hidden="false" customHeight="false" outlineLevel="0" collapsed="false">
      <c r="A36" s="13" t="s">
        <v>502</v>
      </c>
      <c r="B36" s="13" t="s">
        <v>673</v>
      </c>
      <c r="C36" s="13" t="s">
        <v>674</v>
      </c>
    </row>
    <row r="37" customFormat="false" ht="23.85" hidden="false" customHeight="false" outlineLevel="0" collapsed="false">
      <c r="A37" s="13" t="s">
        <v>675</v>
      </c>
      <c r="B37" s="13" t="s">
        <v>676</v>
      </c>
      <c r="C37" s="13" t="s">
        <v>677</v>
      </c>
    </row>
    <row r="40" customFormat="false" ht="15" hidden="false" customHeight="false" outlineLevel="0" collapsed="false">
      <c r="A40" s="20" t="s">
        <v>678</v>
      </c>
    </row>
    <row r="41" customFormat="false" ht="15" hidden="false" customHeight="false" outlineLevel="0" collapsed="false">
      <c r="A41" s="12" t="s">
        <v>679</v>
      </c>
      <c r="B41" s="12" t="s">
        <v>680</v>
      </c>
      <c r="C41" s="12" t="s">
        <v>681</v>
      </c>
    </row>
    <row r="42" customFormat="false" ht="46.25" hidden="false" customHeight="false" outlineLevel="0" collapsed="false">
      <c r="A42" s="13" t="s">
        <v>682</v>
      </c>
      <c r="B42" s="13" t="s">
        <v>683</v>
      </c>
      <c r="C42" s="13" t="s">
        <v>684</v>
      </c>
    </row>
    <row r="43" customFormat="false" ht="35.05" hidden="false" customHeight="false" outlineLevel="0" collapsed="false">
      <c r="A43" s="13" t="s">
        <v>685</v>
      </c>
      <c r="B43" s="13" t="s">
        <v>686</v>
      </c>
      <c r="C43" s="13" t="s">
        <v>687</v>
      </c>
    </row>
    <row r="44" customFormat="false" ht="23.85" hidden="false" customHeight="false" outlineLevel="0" collapsed="false">
      <c r="A44" s="13" t="s">
        <v>688</v>
      </c>
      <c r="B44" s="13" t="s">
        <v>689</v>
      </c>
      <c r="C44" s="13" t="s">
        <v>690</v>
      </c>
    </row>
    <row r="45" customFormat="false" ht="23.85" hidden="false" customHeight="false" outlineLevel="0" collapsed="false">
      <c r="A45" s="13" t="s">
        <v>691</v>
      </c>
      <c r="B45" s="13" t="s">
        <v>692</v>
      </c>
      <c r="C45" s="13" t="s">
        <v>693</v>
      </c>
    </row>
  </sheetData>
  <autoFilter ref="A1:F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20"/>
    <col collapsed="false" customWidth="true" hidden="false" outlineLevel="0" max="4" min="4" style="0" width="40"/>
    <col collapsed="false" customWidth="true" hidden="false" outlineLevel="0" max="5" min="5" style="0" width="110"/>
  </cols>
  <sheetData>
    <row r="1" customFormat="false" ht="30" hidden="false" customHeight="true" outlineLevel="0" collapsed="false">
      <c r="A1" s="7" t="s">
        <v>694</v>
      </c>
      <c r="B1" s="7" t="s">
        <v>81</v>
      </c>
      <c r="C1" s="7" t="s">
        <v>695</v>
      </c>
      <c r="D1" s="7" t="s">
        <v>696</v>
      </c>
      <c r="E1" s="7" t="s">
        <v>697</v>
      </c>
    </row>
    <row r="2" customFormat="false" ht="168.65" hidden="false" customHeight="false" outlineLevel="0" collapsed="false">
      <c r="A2" s="13" t="s">
        <v>503</v>
      </c>
      <c r="B2" s="13" t="s">
        <v>698</v>
      </c>
      <c r="C2" s="13" t="s">
        <v>699</v>
      </c>
      <c r="D2" s="13" t="s">
        <v>700</v>
      </c>
      <c r="E2" s="21" t="s">
        <v>701</v>
      </c>
    </row>
    <row r="3" customFormat="false" ht="105.95" hidden="false" customHeight="false" outlineLevel="0" collapsed="false">
      <c r="A3" s="13" t="s">
        <v>503</v>
      </c>
      <c r="B3" s="13" t="s">
        <v>698</v>
      </c>
      <c r="C3" s="13" t="s">
        <v>702</v>
      </c>
      <c r="D3" s="13" t="s">
        <v>703</v>
      </c>
      <c r="E3" s="21" t="s">
        <v>704</v>
      </c>
    </row>
    <row r="4" customFormat="false" ht="105.95" hidden="false" customHeight="false" outlineLevel="0" collapsed="false">
      <c r="A4" s="13" t="s">
        <v>503</v>
      </c>
      <c r="B4" s="13" t="s">
        <v>698</v>
      </c>
      <c r="C4" s="13" t="s">
        <v>705</v>
      </c>
      <c r="D4" s="13" t="s">
        <v>706</v>
      </c>
      <c r="E4" s="21" t="s">
        <v>707</v>
      </c>
    </row>
    <row r="5" customFormat="false" ht="147.75" hidden="false" customHeight="false" outlineLevel="0" collapsed="false">
      <c r="A5" s="13" t="s">
        <v>512</v>
      </c>
      <c r="B5" s="13" t="s">
        <v>708</v>
      </c>
      <c r="C5" s="13" t="s">
        <v>699</v>
      </c>
      <c r="D5" s="13" t="s">
        <v>709</v>
      </c>
      <c r="E5" s="21" t="s">
        <v>710</v>
      </c>
    </row>
    <row r="6" customFormat="false" ht="43.25" hidden="false" customHeight="false" outlineLevel="0" collapsed="false">
      <c r="A6" s="13" t="s">
        <v>512</v>
      </c>
      <c r="B6" s="13" t="s">
        <v>708</v>
      </c>
      <c r="C6" s="13" t="s">
        <v>711</v>
      </c>
      <c r="D6" s="13" t="s">
        <v>712</v>
      </c>
      <c r="E6" s="21" t="s">
        <v>713</v>
      </c>
    </row>
    <row r="7" customFormat="false" ht="85.05" hidden="false" customHeight="false" outlineLevel="0" collapsed="false">
      <c r="A7" s="13" t="s">
        <v>521</v>
      </c>
      <c r="B7" s="13" t="s">
        <v>714</v>
      </c>
      <c r="C7" s="13" t="s">
        <v>715</v>
      </c>
      <c r="D7" s="13" t="s">
        <v>709</v>
      </c>
      <c r="E7" s="21" t="s">
        <v>716</v>
      </c>
    </row>
    <row r="8" customFormat="false" ht="43.25" hidden="false" customHeight="false" outlineLevel="0" collapsed="false">
      <c r="A8" s="13" t="s">
        <v>521</v>
      </c>
      <c r="B8" s="13" t="s">
        <v>714</v>
      </c>
      <c r="C8" s="13" t="s">
        <v>717</v>
      </c>
      <c r="D8" s="13" t="s">
        <v>712</v>
      </c>
      <c r="E8" s="21" t="s">
        <v>718</v>
      </c>
    </row>
    <row r="9" customFormat="false" ht="179.1" hidden="false" customHeight="false" outlineLevel="0" collapsed="false">
      <c r="A9" s="13" t="s">
        <v>526</v>
      </c>
      <c r="B9" s="13" t="s">
        <v>719</v>
      </c>
      <c r="C9" s="13" t="s">
        <v>720</v>
      </c>
      <c r="D9" s="13" t="s">
        <v>700</v>
      </c>
      <c r="E9" s="21" t="s">
        <v>721</v>
      </c>
    </row>
    <row r="10" customFormat="false" ht="105.95" hidden="false" customHeight="false" outlineLevel="0" collapsed="false">
      <c r="A10" s="13" t="s">
        <v>526</v>
      </c>
      <c r="B10" s="13" t="s">
        <v>719</v>
      </c>
      <c r="C10" s="13" t="s">
        <v>722</v>
      </c>
      <c r="D10" s="13" t="s">
        <v>703</v>
      </c>
      <c r="E10" s="21" t="s">
        <v>723</v>
      </c>
    </row>
    <row r="11" customFormat="false" ht="105.95" hidden="false" customHeight="false" outlineLevel="0" collapsed="false">
      <c r="A11" s="13" t="s">
        <v>526</v>
      </c>
      <c r="B11" s="13" t="s">
        <v>719</v>
      </c>
      <c r="C11" s="13" t="s">
        <v>724</v>
      </c>
      <c r="D11" s="13" t="s">
        <v>725</v>
      </c>
      <c r="E11" s="21" t="s">
        <v>726</v>
      </c>
    </row>
    <row r="12" customFormat="false" ht="284.3" hidden="false" customHeight="false" outlineLevel="0" collapsed="false">
      <c r="A12" s="13" t="s">
        <v>526</v>
      </c>
      <c r="B12" s="13" t="s">
        <v>719</v>
      </c>
      <c r="C12" s="13" t="s">
        <v>727</v>
      </c>
      <c r="D12" s="13" t="s">
        <v>728</v>
      </c>
      <c r="E12" s="21" t="s">
        <v>729</v>
      </c>
    </row>
    <row r="13" customFormat="false" ht="199.95" hidden="false" customHeight="false" outlineLevel="0" collapsed="false">
      <c r="A13" s="13" t="s">
        <v>526</v>
      </c>
      <c r="B13" s="13" t="s">
        <v>719</v>
      </c>
      <c r="C13" s="13" t="s">
        <v>730</v>
      </c>
      <c r="D13" s="13" t="s">
        <v>728</v>
      </c>
      <c r="E13" s="21" t="s">
        <v>731</v>
      </c>
    </row>
    <row r="14" customFormat="false" ht="220.85" hidden="false" customHeight="false" outlineLevel="0" collapsed="false">
      <c r="A14" s="13" t="s">
        <v>533</v>
      </c>
      <c r="B14" s="13" t="s">
        <v>732</v>
      </c>
      <c r="C14" s="13" t="s">
        <v>699</v>
      </c>
      <c r="D14" s="13" t="s">
        <v>733</v>
      </c>
      <c r="E14" s="21" t="s">
        <v>734</v>
      </c>
    </row>
    <row r="15" customFormat="false" ht="305.2" hidden="false" customHeight="false" outlineLevel="0" collapsed="false">
      <c r="A15" s="13" t="s">
        <v>533</v>
      </c>
      <c r="B15" s="13" t="s">
        <v>732</v>
      </c>
      <c r="C15" s="13" t="s">
        <v>735</v>
      </c>
      <c r="D15" s="13" t="s">
        <v>736</v>
      </c>
      <c r="E15" s="21" t="s">
        <v>737</v>
      </c>
    </row>
    <row r="16" customFormat="false" ht="472.35" hidden="false" customHeight="false" outlineLevel="0" collapsed="false">
      <c r="A16" s="13" t="s">
        <v>533</v>
      </c>
      <c r="B16" s="13" t="s">
        <v>732</v>
      </c>
      <c r="C16" s="13" t="s">
        <v>738</v>
      </c>
      <c r="D16" s="13" t="s">
        <v>712</v>
      </c>
      <c r="E16" s="21" t="s">
        <v>739</v>
      </c>
    </row>
    <row r="17" customFormat="false" ht="263.4" hidden="false" customHeight="false" outlineLevel="0" collapsed="false">
      <c r="A17" s="13" t="s">
        <v>539</v>
      </c>
      <c r="B17" s="13" t="s">
        <v>740</v>
      </c>
      <c r="C17" s="13" t="s">
        <v>699</v>
      </c>
      <c r="D17" s="13" t="s">
        <v>741</v>
      </c>
      <c r="E17" s="21" t="s">
        <v>742</v>
      </c>
    </row>
    <row r="18" customFormat="false" ht="482.8" hidden="false" customHeight="false" outlineLevel="0" collapsed="false">
      <c r="A18" s="13" t="s">
        <v>539</v>
      </c>
      <c r="B18" s="13" t="s">
        <v>740</v>
      </c>
      <c r="C18" s="13" t="s">
        <v>743</v>
      </c>
      <c r="D18" s="13" t="s">
        <v>744</v>
      </c>
      <c r="E18" s="21" t="s">
        <v>745</v>
      </c>
    </row>
    <row r="19" customFormat="false" ht="105.95" hidden="false" customHeight="false" outlineLevel="0" collapsed="false">
      <c r="A19" s="13" t="s">
        <v>539</v>
      </c>
      <c r="B19" s="13" t="s">
        <v>740</v>
      </c>
      <c r="C19" s="13" t="s">
        <v>746</v>
      </c>
      <c r="D19" s="13" t="s">
        <v>747</v>
      </c>
      <c r="E19" s="21" t="s">
        <v>748</v>
      </c>
    </row>
    <row r="20" customFormat="false" ht="74.6" hidden="false" customHeight="false" outlineLevel="0" collapsed="false">
      <c r="A20" s="13" t="s">
        <v>547</v>
      </c>
      <c r="B20" s="13" t="s">
        <v>749</v>
      </c>
      <c r="C20" s="13" t="s">
        <v>750</v>
      </c>
      <c r="D20" s="13" t="s">
        <v>751</v>
      </c>
      <c r="E20" s="21" t="s">
        <v>752</v>
      </c>
    </row>
    <row r="21" customFormat="false" ht="53.7" hidden="false" customHeight="false" outlineLevel="0" collapsed="false">
      <c r="A21" s="13" t="s">
        <v>547</v>
      </c>
      <c r="B21" s="13" t="s">
        <v>749</v>
      </c>
      <c r="C21" s="13" t="s">
        <v>753</v>
      </c>
      <c r="D21" s="13" t="s">
        <v>751</v>
      </c>
      <c r="E21" s="21" t="s">
        <v>754</v>
      </c>
    </row>
    <row r="22" customFormat="false" ht="22.35" hidden="false" customHeight="false" outlineLevel="0" collapsed="false">
      <c r="A22" s="13" t="s">
        <v>547</v>
      </c>
      <c r="B22" s="13" t="s">
        <v>749</v>
      </c>
      <c r="C22" s="13" t="s">
        <v>755</v>
      </c>
      <c r="D22" s="13" t="s">
        <v>756</v>
      </c>
      <c r="E22" s="21" t="s">
        <v>757</v>
      </c>
    </row>
    <row r="23" customFormat="false" ht="242.5" hidden="false" customHeight="false" outlineLevel="0" collapsed="false">
      <c r="A23" s="13" t="s">
        <v>547</v>
      </c>
      <c r="B23" s="13" t="s">
        <v>749</v>
      </c>
      <c r="C23" s="13" t="s">
        <v>758</v>
      </c>
      <c r="D23" s="13" t="s">
        <v>759</v>
      </c>
      <c r="E23" s="21" t="s">
        <v>760</v>
      </c>
    </row>
    <row r="24" customFormat="false" ht="74.6" hidden="false" customHeight="false" outlineLevel="0" collapsed="false">
      <c r="A24" s="13" t="s">
        <v>547</v>
      </c>
      <c r="B24" s="13" t="s">
        <v>749</v>
      </c>
      <c r="C24" s="13" t="s">
        <v>761</v>
      </c>
      <c r="D24" s="13" t="s">
        <v>762</v>
      </c>
      <c r="E24" s="21" t="s">
        <v>763</v>
      </c>
    </row>
    <row r="25" customFormat="false" ht="179.1" hidden="false" customHeight="false" outlineLevel="0" collapsed="false">
      <c r="A25" s="13" t="s">
        <v>547</v>
      </c>
      <c r="B25" s="13" t="s">
        <v>749</v>
      </c>
      <c r="C25" s="13" t="s">
        <v>764</v>
      </c>
      <c r="D25" s="13" t="s">
        <v>765</v>
      </c>
      <c r="E25" s="21" t="s">
        <v>766</v>
      </c>
    </row>
    <row r="26" customFormat="false" ht="64.15" hidden="false" customHeight="false" outlineLevel="0" collapsed="false">
      <c r="A26" s="13" t="s">
        <v>554</v>
      </c>
      <c r="B26" s="13" t="s">
        <v>767</v>
      </c>
      <c r="C26" s="13" t="s">
        <v>699</v>
      </c>
      <c r="D26" s="13" t="s">
        <v>768</v>
      </c>
      <c r="E26" s="21" t="s">
        <v>769</v>
      </c>
    </row>
    <row r="27" customFormat="false" ht="74.6" hidden="false" customHeight="false" outlineLevel="0" collapsed="false">
      <c r="A27" s="13" t="s">
        <v>554</v>
      </c>
      <c r="B27" s="13" t="s">
        <v>767</v>
      </c>
      <c r="C27" s="13" t="s">
        <v>770</v>
      </c>
      <c r="D27" s="13" t="s">
        <v>771</v>
      </c>
      <c r="E27" s="21" t="s">
        <v>772</v>
      </c>
    </row>
    <row r="28" customFormat="false" ht="74.6" hidden="false" customHeight="false" outlineLevel="0" collapsed="false">
      <c r="A28" s="13" t="s">
        <v>554</v>
      </c>
      <c r="B28" s="13" t="s">
        <v>767</v>
      </c>
      <c r="C28" s="13" t="s">
        <v>773</v>
      </c>
      <c r="D28" s="13" t="s">
        <v>771</v>
      </c>
      <c r="E28" s="21" t="s">
        <v>774</v>
      </c>
    </row>
    <row r="29" customFormat="false" ht="242.5" hidden="false" customHeight="false" outlineLevel="0" collapsed="false">
      <c r="A29" s="13" t="s">
        <v>554</v>
      </c>
      <c r="B29" s="13" t="s">
        <v>767</v>
      </c>
      <c r="C29" s="13" t="s">
        <v>775</v>
      </c>
      <c r="D29" s="13" t="s">
        <v>776</v>
      </c>
      <c r="E29" s="21" t="s">
        <v>777</v>
      </c>
    </row>
    <row r="30" customFormat="false" ht="273.85" hidden="false" customHeight="false" outlineLevel="0" collapsed="false">
      <c r="A30" s="13" t="s">
        <v>554</v>
      </c>
      <c r="B30" s="13" t="s">
        <v>767</v>
      </c>
      <c r="C30" s="13" t="s">
        <v>778</v>
      </c>
      <c r="D30" s="13" t="s">
        <v>776</v>
      </c>
      <c r="E30" s="21" t="s">
        <v>779</v>
      </c>
    </row>
    <row r="31" customFormat="false" ht="242.5" hidden="false" customHeight="false" outlineLevel="0" collapsed="false">
      <c r="A31" s="13" t="s">
        <v>561</v>
      </c>
      <c r="B31" s="13" t="s">
        <v>780</v>
      </c>
      <c r="C31" s="13" t="s">
        <v>720</v>
      </c>
      <c r="D31" s="13" t="s">
        <v>733</v>
      </c>
      <c r="E31" s="21" t="s">
        <v>781</v>
      </c>
    </row>
    <row r="32" customFormat="false" ht="74.6" hidden="false" customHeight="false" outlineLevel="0" collapsed="false">
      <c r="A32" s="13" t="s">
        <v>561</v>
      </c>
      <c r="B32" s="13" t="s">
        <v>780</v>
      </c>
      <c r="C32" s="13" t="s">
        <v>738</v>
      </c>
      <c r="D32" s="13" t="s">
        <v>712</v>
      </c>
      <c r="E32" s="21" t="s">
        <v>782</v>
      </c>
    </row>
    <row r="33" customFormat="false" ht="409.7" hidden="false" customHeight="false" outlineLevel="0" collapsed="false">
      <c r="A33" s="13" t="s">
        <v>566</v>
      </c>
      <c r="B33" s="13" t="s">
        <v>783</v>
      </c>
      <c r="C33" s="13" t="s">
        <v>699</v>
      </c>
      <c r="D33" s="13" t="s">
        <v>741</v>
      </c>
      <c r="E33" s="21" t="s">
        <v>784</v>
      </c>
    </row>
    <row r="34" customFormat="false" ht="95.5" hidden="false" customHeight="false" outlineLevel="0" collapsed="false">
      <c r="A34" s="13" t="s">
        <v>566</v>
      </c>
      <c r="B34" s="13" t="s">
        <v>783</v>
      </c>
      <c r="C34" s="13" t="s">
        <v>785</v>
      </c>
      <c r="D34" s="13" t="s">
        <v>703</v>
      </c>
      <c r="E34" s="21" t="s">
        <v>786</v>
      </c>
    </row>
    <row r="35" customFormat="false" ht="105.95" hidden="false" customHeight="false" outlineLevel="0" collapsed="false">
      <c r="A35" s="13" t="s">
        <v>566</v>
      </c>
      <c r="B35" s="13" t="s">
        <v>783</v>
      </c>
      <c r="C35" s="13" t="s">
        <v>724</v>
      </c>
      <c r="D35" s="13" t="s">
        <v>787</v>
      </c>
      <c r="E35" s="21" t="s">
        <v>788</v>
      </c>
    </row>
    <row r="36" customFormat="false" ht="284.3" hidden="false" customHeight="false" outlineLevel="0" collapsed="false">
      <c r="A36" s="13" t="s">
        <v>566</v>
      </c>
      <c r="B36" s="13" t="s">
        <v>783</v>
      </c>
      <c r="C36" s="13" t="s">
        <v>789</v>
      </c>
      <c r="D36" s="13" t="s">
        <v>728</v>
      </c>
      <c r="E36" s="21" t="s">
        <v>790</v>
      </c>
    </row>
    <row r="37" customFormat="false" ht="535.05" hidden="false" customHeight="false" outlineLevel="0" collapsed="false">
      <c r="A37" s="13" t="s">
        <v>573</v>
      </c>
      <c r="B37" s="13" t="s">
        <v>574</v>
      </c>
      <c r="C37" s="13" t="s">
        <v>699</v>
      </c>
      <c r="D37" s="13" t="s">
        <v>791</v>
      </c>
      <c r="E37" s="21" t="s">
        <v>792</v>
      </c>
    </row>
    <row r="38" customFormat="false" ht="74.6" hidden="false" customHeight="false" outlineLevel="0" collapsed="false">
      <c r="A38" s="13" t="s">
        <v>573</v>
      </c>
      <c r="B38" s="13" t="s">
        <v>574</v>
      </c>
      <c r="C38" s="13" t="s">
        <v>793</v>
      </c>
      <c r="D38" s="13" t="s">
        <v>794</v>
      </c>
      <c r="E38" s="21" t="s">
        <v>795</v>
      </c>
    </row>
    <row r="39" customFormat="false" ht="74.6" hidden="false" customHeight="false" outlineLevel="0" collapsed="false">
      <c r="A39" s="13" t="s">
        <v>573</v>
      </c>
      <c r="B39" s="13" t="s">
        <v>574</v>
      </c>
      <c r="C39" s="13" t="s">
        <v>722</v>
      </c>
      <c r="D39" s="13" t="s">
        <v>796</v>
      </c>
      <c r="E39" s="21" t="s">
        <v>797</v>
      </c>
    </row>
    <row r="40" customFormat="false" ht="116.4" hidden="false" customHeight="false" outlineLevel="0" collapsed="false">
      <c r="A40" s="13" t="s">
        <v>573</v>
      </c>
      <c r="B40" s="13" t="s">
        <v>574</v>
      </c>
      <c r="C40" s="13" t="s">
        <v>798</v>
      </c>
      <c r="D40" s="13" t="s">
        <v>799</v>
      </c>
      <c r="E40" s="21" t="s">
        <v>800</v>
      </c>
    </row>
    <row r="41" customFormat="false" ht="231.3" hidden="false" customHeight="false" outlineLevel="0" collapsed="false">
      <c r="A41" s="13" t="s">
        <v>583</v>
      </c>
      <c r="B41" s="13" t="s">
        <v>584</v>
      </c>
      <c r="C41" s="13" t="s">
        <v>699</v>
      </c>
      <c r="D41" s="13" t="s">
        <v>791</v>
      </c>
      <c r="E41" s="21" t="s">
        <v>801</v>
      </c>
    </row>
    <row r="42" customFormat="false" ht="199.95" hidden="false" customHeight="false" outlineLevel="0" collapsed="false">
      <c r="A42" s="13" t="s">
        <v>583</v>
      </c>
      <c r="B42" s="13" t="s">
        <v>584</v>
      </c>
      <c r="C42" s="13" t="s">
        <v>785</v>
      </c>
      <c r="D42" s="13" t="s">
        <v>796</v>
      </c>
      <c r="E42" s="21" t="s">
        <v>802</v>
      </c>
    </row>
    <row r="43" customFormat="false" ht="336.55" hidden="false" customHeight="false" outlineLevel="0" collapsed="false">
      <c r="A43" s="13" t="s">
        <v>583</v>
      </c>
      <c r="B43" s="13" t="s">
        <v>584</v>
      </c>
      <c r="C43" s="13" t="s">
        <v>803</v>
      </c>
      <c r="D43" s="13" t="s">
        <v>728</v>
      </c>
      <c r="E43" s="21" t="s">
        <v>804</v>
      </c>
    </row>
    <row r="44" customFormat="false" ht="336.55" hidden="false" customHeight="false" outlineLevel="0" collapsed="false">
      <c r="A44" s="13" t="s">
        <v>590</v>
      </c>
      <c r="B44" s="13" t="s">
        <v>288</v>
      </c>
      <c r="C44" s="13" t="s">
        <v>805</v>
      </c>
      <c r="D44" s="13" t="s">
        <v>806</v>
      </c>
      <c r="E44" s="21" t="s">
        <v>807</v>
      </c>
    </row>
    <row r="45" customFormat="false" ht="74.6" hidden="false" customHeight="false" outlineLevel="0" collapsed="false">
      <c r="A45" s="13" t="s">
        <v>590</v>
      </c>
      <c r="B45" s="13" t="s">
        <v>288</v>
      </c>
      <c r="C45" s="13" t="s">
        <v>715</v>
      </c>
      <c r="D45" s="13" t="s">
        <v>808</v>
      </c>
      <c r="E45" s="21" t="s">
        <v>809</v>
      </c>
    </row>
    <row r="46" customFormat="false" ht="22.35" hidden="false" customHeight="false" outlineLevel="0" collapsed="false">
      <c r="A46" s="13" t="s">
        <v>590</v>
      </c>
      <c r="B46" s="13" t="s">
        <v>288</v>
      </c>
      <c r="C46" s="13" t="s">
        <v>711</v>
      </c>
      <c r="D46" s="13" t="s">
        <v>810</v>
      </c>
      <c r="E46" s="21" t="s">
        <v>811</v>
      </c>
    </row>
    <row r="47" customFormat="false" ht="273.85" hidden="false" customHeight="false" outlineLevel="0" collapsed="false">
      <c r="A47" s="13" t="s">
        <v>590</v>
      </c>
      <c r="B47" s="13" t="s">
        <v>288</v>
      </c>
      <c r="C47" s="13" t="s">
        <v>812</v>
      </c>
      <c r="D47" s="13" t="s">
        <v>776</v>
      </c>
      <c r="E47" s="21" t="s">
        <v>813</v>
      </c>
    </row>
    <row r="48" customFormat="false" ht="242.5" hidden="false" customHeight="false" outlineLevel="0" collapsed="false">
      <c r="A48" s="13" t="s">
        <v>590</v>
      </c>
      <c r="B48" s="13" t="s">
        <v>288</v>
      </c>
      <c r="C48" s="13" t="s">
        <v>814</v>
      </c>
      <c r="D48" s="13" t="s">
        <v>776</v>
      </c>
      <c r="E48" s="21" t="s">
        <v>815</v>
      </c>
    </row>
    <row r="49" customFormat="false" ht="273.85" hidden="false" customHeight="false" outlineLevel="0" collapsed="false">
      <c r="A49" s="13" t="s">
        <v>590</v>
      </c>
      <c r="B49" s="13" t="s">
        <v>288</v>
      </c>
      <c r="C49" s="13" t="s">
        <v>730</v>
      </c>
      <c r="D49" s="13" t="s">
        <v>816</v>
      </c>
      <c r="E49" s="21" t="s">
        <v>817</v>
      </c>
    </row>
    <row r="50" customFormat="false" ht="284.3" hidden="false" customHeight="false" outlineLevel="0" collapsed="false">
      <c r="A50" s="13" t="s">
        <v>596</v>
      </c>
      <c r="B50" s="13" t="s">
        <v>205</v>
      </c>
      <c r="C50" s="13" t="s">
        <v>805</v>
      </c>
      <c r="D50" s="13" t="s">
        <v>806</v>
      </c>
      <c r="E50" s="21" t="s">
        <v>818</v>
      </c>
    </row>
    <row r="51" customFormat="false" ht="284.3" hidden="false" customHeight="false" outlineLevel="0" collapsed="false">
      <c r="A51" s="13" t="s">
        <v>596</v>
      </c>
      <c r="B51" s="13" t="s">
        <v>205</v>
      </c>
      <c r="C51" s="13" t="s">
        <v>715</v>
      </c>
      <c r="D51" s="13" t="s">
        <v>819</v>
      </c>
      <c r="E51" s="21" t="s">
        <v>820</v>
      </c>
    </row>
    <row r="52" customFormat="false" ht="74.6" hidden="false" customHeight="false" outlineLevel="0" collapsed="false">
      <c r="A52" s="13" t="s">
        <v>596</v>
      </c>
      <c r="B52" s="13" t="s">
        <v>205</v>
      </c>
      <c r="C52" s="13" t="s">
        <v>717</v>
      </c>
      <c r="D52" s="13" t="s">
        <v>821</v>
      </c>
      <c r="E52" s="21" t="s">
        <v>822</v>
      </c>
    </row>
    <row r="53" customFormat="false" ht="95.5" hidden="false" customHeight="false" outlineLevel="0" collapsed="false">
      <c r="A53" s="13" t="s">
        <v>596</v>
      </c>
      <c r="B53" s="13" t="s">
        <v>205</v>
      </c>
      <c r="C53" s="13" t="s">
        <v>798</v>
      </c>
      <c r="D53" s="13" t="s">
        <v>823</v>
      </c>
      <c r="E53" s="21" t="s">
        <v>824</v>
      </c>
    </row>
    <row r="54" customFormat="false" ht="273.85" hidden="false" customHeight="false" outlineLevel="0" collapsed="false">
      <c r="A54" s="13" t="s">
        <v>596</v>
      </c>
      <c r="B54" s="13" t="s">
        <v>205</v>
      </c>
      <c r="C54" s="13" t="s">
        <v>825</v>
      </c>
      <c r="D54" s="13" t="s">
        <v>776</v>
      </c>
      <c r="E54" s="21" t="s">
        <v>826</v>
      </c>
    </row>
    <row r="55" customFormat="false" ht="441" hidden="false" customHeight="false" outlineLevel="0" collapsed="false">
      <c r="A55" s="13" t="s">
        <v>600</v>
      </c>
      <c r="B55" s="13" t="s">
        <v>601</v>
      </c>
      <c r="C55" s="13" t="s">
        <v>699</v>
      </c>
      <c r="D55" s="13" t="s">
        <v>791</v>
      </c>
      <c r="E55" s="21" t="s">
        <v>827</v>
      </c>
    </row>
    <row r="56" customFormat="false" ht="74.6" hidden="false" customHeight="false" outlineLevel="0" collapsed="false">
      <c r="A56" s="13" t="s">
        <v>600</v>
      </c>
      <c r="B56" s="13" t="s">
        <v>601</v>
      </c>
      <c r="C56" s="13" t="s">
        <v>828</v>
      </c>
      <c r="D56" s="13" t="s">
        <v>829</v>
      </c>
      <c r="E56" s="21" t="s">
        <v>830</v>
      </c>
    </row>
    <row r="57" customFormat="false" ht="74.6" hidden="false" customHeight="false" outlineLevel="0" collapsed="false">
      <c r="A57" s="13" t="s">
        <v>831</v>
      </c>
      <c r="B57" s="13" t="s">
        <v>832</v>
      </c>
      <c r="C57" s="13" t="s">
        <v>833</v>
      </c>
      <c r="D57" s="13" t="s">
        <v>834</v>
      </c>
      <c r="E57" s="21" t="s">
        <v>835</v>
      </c>
    </row>
    <row r="58" customFormat="false" ht="105.95" hidden="false" customHeight="false" outlineLevel="0" collapsed="false">
      <c r="A58" s="13" t="s">
        <v>831</v>
      </c>
      <c r="B58" s="13" t="s">
        <v>832</v>
      </c>
      <c r="C58" s="13" t="s">
        <v>836</v>
      </c>
      <c r="D58" s="13" t="s">
        <v>837</v>
      </c>
      <c r="E58" s="21" t="s">
        <v>838</v>
      </c>
    </row>
    <row r="59" customFormat="false" ht="116.4" hidden="false" customHeight="false" outlineLevel="0" collapsed="false">
      <c r="A59" s="13" t="s">
        <v>831</v>
      </c>
      <c r="B59" s="13" t="s">
        <v>832</v>
      </c>
      <c r="C59" s="13" t="s">
        <v>839</v>
      </c>
      <c r="D59" s="13" t="s">
        <v>840</v>
      </c>
      <c r="E59" s="21" t="s">
        <v>841</v>
      </c>
    </row>
    <row r="60" customFormat="false" ht="64.15" hidden="false" customHeight="false" outlineLevel="0" collapsed="false">
      <c r="A60" s="13" t="s">
        <v>831</v>
      </c>
      <c r="B60" s="13" t="s">
        <v>832</v>
      </c>
      <c r="C60" s="13" t="s">
        <v>842</v>
      </c>
      <c r="D60" s="13" t="s">
        <v>791</v>
      </c>
      <c r="E60" s="21" t="s">
        <v>843</v>
      </c>
    </row>
    <row r="61" customFormat="false" ht="116.4" hidden="false" customHeight="false" outlineLevel="0" collapsed="false">
      <c r="A61" s="13" t="s">
        <v>831</v>
      </c>
      <c r="B61" s="13" t="s">
        <v>832</v>
      </c>
      <c r="C61" s="13" t="s">
        <v>844</v>
      </c>
      <c r="D61" s="13" t="s">
        <v>845</v>
      </c>
      <c r="E61" s="21" t="s">
        <v>846</v>
      </c>
    </row>
    <row r="62" customFormat="false" ht="116.4" hidden="false" customHeight="false" outlineLevel="0" collapsed="false">
      <c r="A62" s="13" t="s">
        <v>831</v>
      </c>
      <c r="B62" s="13" t="s">
        <v>832</v>
      </c>
      <c r="C62" s="13" t="s">
        <v>847</v>
      </c>
      <c r="D62" s="13" t="s">
        <v>848</v>
      </c>
      <c r="E62" s="21" t="s">
        <v>849</v>
      </c>
    </row>
    <row r="63" customFormat="false" ht="294.75" hidden="false" customHeight="false" outlineLevel="0" collapsed="false">
      <c r="A63" s="13" t="s">
        <v>324</v>
      </c>
      <c r="B63" s="13" t="s">
        <v>325</v>
      </c>
      <c r="C63" s="13" t="s">
        <v>850</v>
      </c>
      <c r="D63" s="13" t="s">
        <v>851</v>
      </c>
      <c r="E63" s="21" t="s">
        <v>852</v>
      </c>
    </row>
    <row r="64" customFormat="false" ht="231.3" hidden="false" customHeight="false" outlineLevel="0" collapsed="false">
      <c r="A64" s="13" t="s">
        <v>330</v>
      </c>
      <c r="B64" s="13" t="s">
        <v>331</v>
      </c>
      <c r="C64" s="13" t="s">
        <v>850</v>
      </c>
      <c r="D64" s="13" t="s">
        <v>851</v>
      </c>
      <c r="E64" s="21" t="s">
        <v>853</v>
      </c>
    </row>
    <row r="65" customFormat="false" ht="263.4" hidden="false" customHeight="false" outlineLevel="0" collapsed="false">
      <c r="A65" s="13" t="s">
        <v>335</v>
      </c>
      <c r="B65" s="13" t="s">
        <v>336</v>
      </c>
      <c r="C65" s="13" t="s">
        <v>850</v>
      </c>
      <c r="D65" s="13" t="s">
        <v>851</v>
      </c>
      <c r="E65" s="21" t="s">
        <v>854</v>
      </c>
    </row>
    <row r="66" customFormat="false" ht="326.1" hidden="false" customHeight="false" outlineLevel="0" collapsed="false">
      <c r="A66" s="13" t="s">
        <v>340</v>
      </c>
      <c r="B66" s="13" t="s">
        <v>855</v>
      </c>
      <c r="C66" s="13" t="s">
        <v>850</v>
      </c>
      <c r="D66" s="13" t="s">
        <v>851</v>
      </c>
      <c r="E66" s="21" t="s">
        <v>856</v>
      </c>
    </row>
    <row r="67" customFormat="false" ht="263.4" hidden="false" customHeight="false" outlineLevel="0" collapsed="false">
      <c r="A67" s="13" t="s">
        <v>346</v>
      </c>
      <c r="B67" s="13" t="s">
        <v>347</v>
      </c>
      <c r="C67" s="13" t="s">
        <v>850</v>
      </c>
      <c r="D67" s="13" t="s">
        <v>851</v>
      </c>
      <c r="E67" s="21" t="s">
        <v>857</v>
      </c>
    </row>
    <row r="68" customFormat="false" ht="263.4" hidden="false" customHeight="false" outlineLevel="0" collapsed="false">
      <c r="A68" s="13" t="s">
        <v>351</v>
      </c>
      <c r="B68" s="13" t="s">
        <v>858</v>
      </c>
      <c r="C68" s="13" t="s">
        <v>850</v>
      </c>
      <c r="D68" s="13" t="s">
        <v>851</v>
      </c>
      <c r="E68" s="21" t="s">
        <v>859</v>
      </c>
    </row>
    <row r="69" customFormat="false" ht="273.85" hidden="false" customHeight="false" outlineLevel="0" collapsed="false">
      <c r="A69" s="13" t="s">
        <v>357</v>
      </c>
      <c r="B69" s="13" t="s">
        <v>860</v>
      </c>
      <c r="C69" s="13" t="s">
        <v>850</v>
      </c>
      <c r="D69" s="13" t="s">
        <v>851</v>
      </c>
      <c r="E69" s="21" t="s">
        <v>861</v>
      </c>
    </row>
    <row r="70" customFormat="false" ht="263.4" hidden="false" customHeight="false" outlineLevel="0" collapsed="false">
      <c r="A70" s="13" t="s">
        <v>362</v>
      </c>
      <c r="B70" s="13" t="s">
        <v>363</v>
      </c>
      <c r="C70" s="13" t="s">
        <v>850</v>
      </c>
      <c r="D70" s="13" t="s">
        <v>851</v>
      </c>
      <c r="E70" s="21" t="s">
        <v>862</v>
      </c>
    </row>
    <row r="71" customFormat="false" ht="158.2" hidden="false" customHeight="false" outlineLevel="0" collapsed="false">
      <c r="A71" s="13" t="s">
        <v>367</v>
      </c>
      <c r="B71" s="13" t="s">
        <v>368</v>
      </c>
      <c r="C71" s="13" t="s">
        <v>850</v>
      </c>
      <c r="D71" s="13" t="s">
        <v>851</v>
      </c>
      <c r="E71" s="21" t="s">
        <v>863</v>
      </c>
    </row>
    <row r="72" customFormat="false" ht="158.2" hidden="false" customHeight="false" outlineLevel="0" collapsed="false">
      <c r="A72" s="13" t="s">
        <v>373</v>
      </c>
      <c r="B72" s="13" t="s">
        <v>374</v>
      </c>
      <c r="C72" s="13" t="s">
        <v>850</v>
      </c>
      <c r="D72" s="13" t="s">
        <v>851</v>
      </c>
      <c r="E72" s="21" t="s">
        <v>864</v>
      </c>
    </row>
    <row r="73" customFormat="false" ht="189.55" hidden="false" customHeight="false" outlineLevel="0" collapsed="false">
      <c r="A73" s="13" t="s">
        <v>378</v>
      </c>
      <c r="B73" s="13" t="s">
        <v>379</v>
      </c>
      <c r="C73" s="13" t="s">
        <v>850</v>
      </c>
      <c r="D73" s="13" t="s">
        <v>851</v>
      </c>
      <c r="E73" s="21" t="s">
        <v>865</v>
      </c>
    </row>
    <row r="74" customFormat="false" ht="189.55" hidden="false" customHeight="false" outlineLevel="0" collapsed="false">
      <c r="A74" s="13" t="s">
        <v>383</v>
      </c>
      <c r="B74" s="13" t="s">
        <v>384</v>
      </c>
      <c r="C74" s="13" t="s">
        <v>850</v>
      </c>
      <c r="D74" s="13" t="s">
        <v>851</v>
      </c>
      <c r="E74" s="21" t="s">
        <v>866</v>
      </c>
    </row>
    <row r="75" customFormat="false" ht="231.3" hidden="false" customHeight="false" outlineLevel="0" collapsed="false">
      <c r="A75" s="13" t="s">
        <v>391</v>
      </c>
      <c r="B75" s="13" t="s">
        <v>867</v>
      </c>
      <c r="C75" s="13" t="s">
        <v>850</v>
      </c>
      <c r="D75" s="13" t="s">
        <v>851</v>
      </c>
      <c r="E75" s="21" t="s">
        <v>868</v>
      </c>
    </row>
  </sheetData>
  <autoFilter ref="A1:E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2"/>
    <col collapsed="false" customWidth="true" hidden="false" outlineLevel="0" max="3" min="3" style="0" width="10"/>
    <col collapsed="false" customWidth="true" hidden="false" outlineLevel="0" max="4" min="4" style="0" width="24"/>
    <col collapsed="false" customWidth="true" hidden="false" outlineLevel="0" max="5" min="5" style="0" width="34"/>
    <col collapsed="false" customWidth="true" hidden="false" outlineLevel="0" max="6" min="6" style="0" width="28"/>
    <col collapsed="false" customWidth="true" hidden="false" outlineLevel="0" max="7" min="7" style="0" width="14"/>
    <col collapsed="false" customWidth="true" hidden="false" outlineLevel="0" max="8" min="8" style="0" width="42"/>
    <col collapsed="false" customWidth="true" hidden="false" outlineLevel="0" max="9" min="9" style="0" width="34"/>
    <col collapsed="false" customWidth="true" hidden="false" outlineLevel="0" max="10" min="10" style="0" width="28"/>
  </cols>
  <sheetData>
    <row r="1" customFormat="false" ht="30" hidden="false" customHeight="true" outlineLevel="0" collapsed="false">
      <c r="A1" s="7" t="s">
        <v>111</v>
      </c>
      <c r="B1" s="7" t="s">
        <v>850</v>
      </c>
      <c r="C1" s="7" t="s">
        <v>869</v>
      </c>
      <c r="D1" s="7" t="s">
        <v>870</v>
      </c>
      <c r="E1" s="7" t="s">
        <v>871</v>
      </c>
      <c r="F1" s="7" t="s">
        <v>872</v>
      </c>
      <c r="G1" s="7" t="s">
        <v>496</v>
      </c>
      <c r="H1" s="7" t="s">
        <v>873</v>
      </c>
      <c r="I1" s="7" t="s">
        <v>874</v>
      </c>
      <c r="J1" s="7" t="s">
        <v>499</v>
      </c>
    </row>
    <row r="2" customFormat="false" ht="23.85" hidden="false" customHeight="false" outlineLevel="0" collapsed="false">
      <c r="A2" s="13" t="s">
        <v>324</v>
      </c>
      <c r="B2" s="13" t="s">
        <v>325</v>
      </c>
      <c r="C2" s="13" t="s">
        <v>61</v>
      </c>
      <c r="D2" s="13" t="s">
        <v>536</v>
      </c>
      <c r="E2" s="13" t="s">
        <v>576</v>
      </c>
      <c r="F2" s="13" t="s">
        <v>875</v>
      </c>
      <c r="G2" s="13" t="s">
        <v>876</v>
      </c>
      <c r="H2" s="13" t="s">
        <v>877</v>
      </c>
      <c r="I2" s="13" t="s">
        <v>878</v>
      </c>
      <c r="J2" s="13"/>
    </row>
    <row r="3" customFormat="false" ht="23.85" hidden="false" customHeight="false" outlineLevel="0" collapsed="false">
      <c r="A3" s="13" t="s">
        <v>330</v>
      </c>
      <c r="B3" s="13" t="s">
        <v>331</v>
      </c>
      <c r="C3" s="13" t="s">
        <v>61</v>
      </c>
      <c r="D3" s="13" t="s">
        <v>156</v>
      </c>
      <c r="E3" s="13" t="s">
        <v>879</v>
      </c>
      <c r="F3" s="13" t="s">
        <v>277</v>
      </c>
      <c r="G3" s="13" t="s">
        <v>880</v>
      </c>
      <c r="H3" s="13" t="s">
        <v>881</v>
      </c>
      <c r="I3" s="13" t="s">
        <v>882</v>
      </c>
      <c r="J3" s="13" t="s">
        <v>883</v>
      </c>
    </row>
    <row r="4" customFormat="false" ht="23.85" hidden="false" customHeight="false" outlineLevel="0" collapsed="false">
      <c r="A4" s="13" t="s">
        <v>335</v>
      </c>
      <c r="B4" s="13" t="s">
        <v>336</v>
      </c>
      <c r="C4" s="13" t="s">
        <v>61</v>
      </c>
      <c r="D4" s="13" t="s">
        <v>156</v>
      </c>
      <c r="E4" s="13" t="s">
        <v>879</v>
      </c>
      <c r="F4" s="13" t="s">
        <v>277</v>
      </c>
      <c r="G4" s="13" t="s">
        <v>884</v>
      </c>
      <c r="H4" s="13" t="s">
        <v>885</v>
      </c>
      <c r="I4" s="13" t="s">
        <v>886</v>
      </c>
      <c r="J4" s="13"/>
    </row>
    <row r="5" customFormat="false" ht="23.85" hidden="false" customHeight="false" outlineLevel="0" collapsed="false">
      <c r="A5" s="13" t="s">
        <v>340</v>
      </c>
      <c r="B5" s="13" t="s">
        <v>855</v>
      </c>
      <c r="C5" s="13" t="s">
        <v>887</v>
      </c>
      <c r="D5" s="13" t="s">
        <v>576</v>
      </c>
      <c r="E5" s="13" t="s">
        <v>156</v>
      </c>
      <c r="F5" s="13" t="s">
        <v>281</v>
      </c>
      <c r="G5" s="13" t="s">
        <v>888</v>
      </c>
      <c r="H5" s="13" t="s">
        <v>889</v>
      </c>
      <c r="I5" s="13" t="s">
        <v>890</v>
      </c>
      <c r="J5" s="13"/>
    </row>
    <row r="6" customFormat="false" ht="15" hidden="false" customHeight="false" outlineLevel="0" collapsed="false">
      <c r="A6" s="13" t="s">
        <v>346</v>
      </c>
      <c r="B6" s="13" t="s">
        <v>347</v>
      </c>
      <c r="C6" s="13" t="s">
        <v>61</v>
      </c>
      <c r="D6" s="13" t="s">
        <v>156</v>
      </c>
      <c r="E6" s="13" t="s">
        <v>576</v>
      </c>
      <c r="F6" s="13" t="s">
        <v>277</v>
      </c>
      <c r="G6" s="13" t="s">
        <v>891</v>
      </c>
      <c r="H6" s="13" t="s">
        <v>892</v>
      </c>
      <c r="I6" s="13" t="s">
        <v>893</v>
      </c>
      <c r="J6" s="13" t="s">
        <v>894</v>
      </c>
    </row>
    <row r="7" customFormat="false" ht="23.85" hidden="false" customHeight="false" outlineLevel="0" collapsed="false">
      <c r="A7" s="13" t="s">
        <v>351</v>
      </c>
      <c r="B7" s="13" t="s">
        <v>858</v>
      </c>
      <c r="C7" s="13" t="s">
        <v>61</v>
      </c>
      <c r="D7" s="13" t="s">
        <v>67</v>
      </c>
      <c r="E7" s="13" t="s">
        <v>576</v>
      </c>
      <c r="F7" s="13" t="s">
        <v>277</v>
      </c>
      <c r="G7" s="13" t="s">
        <v>895</v>
      </c>
      <c r="H7" s="13" t="s">
        <v>896</v>
      </c>
      <c r="I7" s="13" t="s">
        <v>897</v>
      </c>
      <c r="J7" s="13" t="s">
        <v>898</v>
      </c>
    </row>
    <row r="8" customFormat="false" ht="23.85" hidden="false" customHeight="false" outlineLevel="0" collapsed="false">
      <c r="A8" s="13" t="s">
        <v>357</v>
      </c>
      <c r="B8" s="13" t="s">
        <v>860</v>
      </c>
      <c r="C8" s="13" t="s">
        <v>887</v>
      </c>
      <c r="D8" s="13" t="s">
        <v>576</v>
      </c>
      <c r="E8" s="13" t="s">
        <v>156</v>
      </c>
      <c r="F8" s="13" t="s">
        <v>281</v>
      </c>
      <c r="G8" s="13" t="s">
        <v>899</v>
      </c>
      <c r="H8" s="13" t="s">
        <v>900</v>
      </c>
      <c r="I8" s="13" t="s">
        <v>901</v>
      </c>
      <c r="J8" s="13"/>
    </row>
    <row r="9" customFormat="false" ht="23.85" hidden="false" customHeight="false" outlineLevel="0" collapsed="false">
      <c r="A9" s="13" t="s">
        <v>362</v>
      </c>
      <c r="B9" s="13" t="s">
        <v>363</v>
      </c>
      <c r="C9" s="13" t="s">
        <v>61</v>
      </c>
      <c r="D9" s="13" t="s">
        <v>156</v>
      </c>
      <c r="E9" s="13" t="s">
        <v>576</v>
      </c>
      <c r="F9" s="13" t="s">
        <v>277</v>
      </c>
      <c r="G9" s="13" t="s">
        <v>902</v>
      </c>
      <c r="H9" s="13" t="s">
        <v>903</v>
      </c>
      <c r="I9" s="13" t="s">
        <v>904</v>
      </c>
      <c r="J9" s="13" t="s">
        <v>905</v>
      </c>
    </row>
    <row r="10" customFormat="false" ht="23.85" hidden="false" customHeight="false" outlineLevel="0" collapsed="false">
      <c r="A10" s="13" t="s">
        <v>367</v>
      </c>
      <c r="B10" s="13" t="s">
        <v>368</v>
      </c>
      <c r="C10" s="13" t="s">
        <v>61</v>
      </c>
      <c r="D10" s="13" t="s">
        <v>576</v>
      </c>
      <c r="E10" s="13" t="s">
        <v>906</v>
      </c>
      <c r="F10" s="13" t="s">
        <v>875</v>
      </c>
      <c r="G10" s="13" t="s">
        <v>907</v>
      </c>
      <c r="H10" s="13" t="s">
        <v>908</v>
      </c>
      <c r="I10" s="13" t="s">
        <v>909</v>
      </c>
      <c r="J10" s="13"/>
    </row>
    <row r="11" customFormat="false" ht="23.85" hidden="false" customHeight="false" outlineLevel="0" collapsed="false">
      <c r="A11" s="13" t="s">
        <v>373</v>
      </c>
      <c r="B11" s="13" t="s">
        <v>374</v>
      </c>
      <c r="C11" s="13" t="s">
        <v>887</v>
      </c>
      <c r="D11" s="13" t="s">
        <v>576</v>
      </c>
      <c r="E11" s="13" t="s">
        <v>156</v>
      </c>
      <c r="F11" s="13" t="s">
        <v>910</v>
      </c>
      <c r="G11" s="13" t="s">
        <v>911</v>
      </c>
      <c r="H11" s="13" t="s">
        <v>912</v>
      </c>
      <c r="I11" s="13" t="s">
        <v>913</v>
      </c>
      <c r="J11" s="13" t="s">
        <v>914</v>
      </c>
    </row>
    <row r="12" customFormat="false" ht="15" hidden="false" customHeight="false" outlineLevel="0" collapsed="false">
      <c r="A12" s="13" t="s">
        <v>378</v>
      </c>
      <c r="B12" s="13" t="s">
        <v>379</v>
      </c>
      <c r="C12" s="13" t="s">
        <v>61</v>
      </c>
      <c r="D12" s="13" t="s">
        <v>156</v>
      </c>
      <c r="E12" s="13" t="s">
        <v>576</v>
      </c>
      <c r="F12" s="13" t="s">
        <v>277</v>
      </c>
      <c r="G12" s="13" t="s">
        <v>915</v>
      </c>
      <c r="H12" s="13" t="s">
        <v>912</v>
      </c>
      <c r="I12" s="13" t="s">
        <v>916</v>
      </c>
      <c r="J12" s="13"/>
    </row>
    <row r="13" customFormat="false" ht="23.85" hidden="false" customHeight="false" outlineLevel="0" collapsed="false">
      <c r="A13" s="13" t="s">
        <v>383</v>
      </c>
      <c r="B13" s="13" t="s">
        <v>384</v>
      </c>
      <c r="C13" s="13" t="s">
        <v>61</v>
      </c>
      <c r="D13" s="13" t="s">
        <v>576</v>
      </c>
      <c r="E13" s="13" t="s">
        <v>917</v>
      </c>
      <c r="F13" s="13" t="s">
        <v>328</v>
      </c>
      <c r="G13" s="13" t="s">
        <v>918</v>
      </c>
      <c r="H13" s="13" t="s">
        <v>132</v>
      </c>
      <c r="I13" s="13" t="s">
        <v>132</v>
      </c>
      <c r="J13" s="13" t="s">
        <v>919</v>
      </c>
    </row>
    <row r="14" customFormat="false" ht="23.85" hidden="false" customHeight="false" outlineLevel="0" collapsed="false">
      <c r="A14" s="13" t="s">
        <v>391</v>
      </c>
      <c r="B14" s="13" t="s">
        <v>867</v>
      </c>
      <c r="C14" s="13" t="s">
        <v>61</v>
      </c>
      <c r="D14" s="13" t="s">
        <v>156</v>
      </c>
      <c r="E14" s="13" t="s">
        <v>576</v>
      </c>
      <c r="F14" s="13" t="s">
        <v>277</v>
      </c>
      <c r="G14" s="13" t="s">
        <v>920</v>
      </c>
      <c r="H14" s="13" t="s">
        <v>921</v>
      </c>
      <c r="I14" s="13" t="s">
        <v>132</v>
      </c>
      <c r="J14" s="13" t="s">
        <v>922</v>
      </c>
    </row>
  </sheetData>
  <autoFilter ref="A1:J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30"/>
    <col collapsed="false" customWidth="true" hidden="false" outlineLevel="0" max="4" min="4" style="0" width="50"/>
    <col collapsed="false" customWidth="true" hidden="false" outlineLevel="0" max="5" min="5" style="0" width="22"/>
  </cols>
  <sheetData>
    <row r="1" customFormat="false" ht="30" hidden="false" customHeight="true" outlineLevel="0" collapsed="false">
      <c r="A1" s="7" t="s">
        <v>923</v>
      </c>
      <c r="B1" s="7" t="s">
        <v>123</v>
      </c>
      <c r="C1" s="7" t="s">
        <v>496</v>
      </c>
      <c r="D1" s="7" t="s">
        <v>924</v>
      </c>
      <c r="E1" s="7" t="s">
        <v>925</v>
      </c>
    </row>
    <row r="2" customFormat="false" ht="15" hidden="false" customHeight="false" outlineLevel="0" collapsed="false">
      <c r="A2" s="13" t="s">
        <v>926</v>
      </c>
      <c r="B2" s="13" t="s">
        <v>156</v>
      </c>
      <c r="C2" s="13" t="s">
        <v>550</v>
      </c>
      <c r="D2" s="13" t="s">
        <v>927</v>
      </c>
      <c r="E2" s="13" t="s">
        <v>928</v>
      </c>
    </row>
    <row r="3" customFormat="false" ht="15" hidden="false" customHeight="false" outlineLevel="0" collapsed="false">
      <c r="A3" s="13" t="s">
        <v>929</v>
      </c>
      <c r="B3" s="13" t="s">
        <v>156</v>
      </c>
      <c r="C3" s="13" t="s">
        <v>930</v>
      </c>
      <c r="D3" s="13" t="s">
        <v>931</v>
      </c>
      <c r="E3" s="13" t="s">
        <v>932</v>
      </c>
    </row>
    <row r="4" customFormat="false" ht="15" hidden="false" customHeight="false" outlineLevel="0" collapsed="false">
      <c r="A4" s="13" t="s">
        <v>933</v>
      </c>
      <c r="B4" s="13" t="s">
        <v>156</v>
      </c>
      <c r="C4" s="13" t="s">
        <v>934</v>
      </c>
      <c r="D4" s="13" t="s">
        <v>935</v>
      </c>
      <c r="E4" s="13" t="s">
        <v>936</v>
      </c>
    </row>
    <row r="5" customFormat="false" ht="15" hidden="false" customHeight="false" outlineLevel="0" collapsed="false">
      <c r="A5" s="13" t="s">
        <v>937</v>
      </c>
      <c r="B5" s="13" t="s">
        <v>67</v>
      </c>
      <c r="C5" s="13" t="s">
        <v>938</v>
      </c>
      <c r="D5" s="13" t="s">
        <v>939</v>
      </c>
      <c r="E5" s="13" t="s">
        <v>940</v>
      </c>
    </row>
    <row r="6" customFormat="false" ht="15" hidden="false" customHeight="false" outlineLevel="0" collapsed="false">
      <c r="A6" s="13" t="s">
        <v>941</v>
      </c>
      <c r="B6" s="13" t="s">
        <v>67</v>
      </c>
      <c r="C6" s="13" t="s">
        <v>942</v>
      </c>
      <c r="D6" s="13" t="s">
        <v>943</v>
      </c>
      <c r="E6" s="13" t="s">
        <v>940</v>
      </c>
    </row>
    <row r="7" customFormat="false" ht="15" hidden="false" customHeight="false" outlineLevel="0" collapsed="false">
      <c r="A7" s="13" t="s">
        <v>944</v>
      </c>
      <c r="B7" s="13" t="s">
        <v>146</v>
      </c>
      <c r="C7" s="13" t="s">
        <v>945</v>
      </c>
      <c r="D7" s="13" t="s">
        <v>946</v>
      </c>
      <c r="E7" s="13" t="s">
        <v>947</v>
      </c>
    </row>
    <row r="8" customFormat="false" ht="15" hidden="false" customHeight="false" outlineLevel="0" collapsed="false">
      <c r="A8" s="13" t="s">
        <v>948</v>
      </c>
      <c r="B8" s="13" t="s">
        <v>130</v>
      </c>
      <c r="C8" s="13" t="s">
        <v>949</v>
      </c>
      <c r="D8" s="13" t="s">
        <v>950</v>
      </c>
      <c r="E8" s="13" t="s">
        <v>951</v>
      </c>
    </row>
    <row r="9" customFormat="false" ht="23.85" hidden="false" customHeight="false" outlineLevel="0" collapsed="false">
      <c r="A9" s="13" t="s">
        <v>952</v>
      </c>
      <c r="B9" s="13" t="s">
        <v>130</v>
      </c>
      <c r="C9" s="13" t="s">
        <v>953</v>
      </c>
      <c r="D9" s="13" t="s">
        <v>954</v>
      </c>
      <c r="E9" s="13" t="s">
        <v>951</v>
      </c>
    </row>
    <row r="10" customFormat="false" ht="15" hidden="false" customHeight="false" outlineLevel="0" collapsed="false">
      <c r="A10" s="13" t="s">
        <v>955</v>
      </c>
      <c r="B10" s="13" t="s">
        <v>130</v>
      </c>
      <c r="C10" s="13" t="s">
        <v>956</v>
      </c>
      <c r="D10" s="13" t="s">
        <v>957</v>
      </c>
      <c r="E10" s="13" t="s">
        <v>951</v>
      </c>
    </row>
    <row r="11" customFormat="false" ht="15" hidden="false" customHeight="false" outlineLevel="0" collapsed="false">
      <c r="A11" s="13" t="s">
        <v>958</v>
      </c>
      <c r="B11" s="13" t="s">
        <v>155</v>
      </c>
      <c r="C11" s="13" t="s">
        <v>959</v>
      </c>
      <c r="D11" s="13" t="s">
        <v>960</v>
      </c>
      <c r="E11" s="13" t="s">
        <v>961</v>
      </c>
    </row>
    <row r="12" customFormat="false" ht="15" hidden="false" customHeight="false" outlineLevel="0" collapsed="false">
      <c r="A12" s="13" t="s">
        <v>962</v>
      </c>
      <c r="B12" s="13" t="s">
        <v>129</v>
      </c>
      <c r="C12" s="13" t="s">
        <v>963</v>
      </c>
      <c r="D12" s="13" t="s">
        <v>964</v>
      </c>
      <c r="E12" s="13" t="s">
        <v>961</v>
      </c>
    </row>
    <row r="13" customFormat="false" ht="15" hidden="false" customHeight="false" outlineLevel="0" collapsed="false">
      <c r="A13" s="13" t="s">
        <v>965</v>
      </c>
      <c r="B13" s="13" t="s">
        <v>130</v>
      </c>
      <c r="C13" s="13" t="s">
        <v>966</v>
      </c>
      <c r="D13" s="13" t="s">
        <v>967</v>
      </c>
      <c r="E13" s="13" t="s">
        <v>951</v>
      </c>
    </row>
    <row r="15" customFormat="false" ht="15" hidden="false" customHeight="false" outlineLevel="0" collapsed="false">
      <c r="A15" s="20" t="s">
        <v>968</v>
      </c>
    </row>
    <row r="16" customFormat="false" ht="15" hidden="false" customHeight="false" outlineLevel="0" collapsed="false">
      <c r="A16" s="12" t="s">
        <v>969</v>
      </c>
      <c r="B16" s="12" t="s">
        <v>120</v>
      </c>
      <c r="C16" s="12" t="s">
        <v>496</v>
      </c>
      <c r="D16" s="12" t="s">
        <v>970</v>
      </c>
      <c r="E16" s="12" t="s">
        <v>499</v>
      </c>
    </row>
    <row r="17" customFormat="false" ht="23.85" hidden="false" customHeight="false" outlineLevel="0" collapsed="false">
      <c r="A17" s="13" t="s">
        <v>971</v>
      </c>
      <c r="B17" s="13" t="s">
        <v>972</v>
      </c>
      <c r="C17" s="13" t="s">
        <v>973</v>
      </c>
      <c r="D17" s="13" t="s">
        <v>576</v>
      </c>
      <c r="E17" s="13" t="s">
        <v>974</v>
      </c>
    </row>
    <row r="18" customFormat="false" ht="23.85" hidden="false" customHeight="false" outlineLevel="0" collapsed="false">
      <c r="A18" s="13" t="s">
        <v>971</v>
      </c>
      <c r="B18" s="13" t="s">
        <v>975</v>
      </c>
      <c r="C18" s="13" t="s">
        <v>976</v>
      </c>
      <c r="D18" s="13" t="s">
        <v>576</v>
      </c>
      <c r="E18" s="13" t="s">
        <v>977</v>
      </c>
    </row>
    <row r="19" customFormat="false" ht="23.85" hidden="false" customHeight="false" outlineLevel="0" collapsed="false">
      <c r="A19" s="13" t="s">
        <v>961</v>
      </c>
      <c r="B19" s="13" t="s">
        <v>978</v>
      </c>
      <c r="C19" s="13" t="s">
        <v>979</v>
      </c>
      <c r="D19" s="13" t="s">
        <v>536</v>
      </c>
      <c r="E19" s="13"/>
    </row>
    <row r="20" customFormat="false" ht="23.85" hidden="false" customHeight="false" outlineLevel="0" collapsed="false">
      <c r="A20" s="13" t="s">
        <v>980</v>
      </c>
      <c r="B20" s="13" t="s">
        <v>981</v>
      </c>
      <c r="C20" s="13" t="s">
        <v>982</v>
      </c>
      <c r="D20" s="13" t="s">
        <v>576</v>
      </c>
      <c r="E20" s="13" t="s">
        <v>983</v>
      </c>
    </row>
    <row r="21" customFormat="false" ht="15" hidden="false" customHeight="false" outlineLevel="0" collapsed="false">
      <c r="A21" s="13" t="s">
        <v>984</v>
      </c>
      <c r="B21" s="13" t="s">
        <v>985</v>
      </c>
      <c r="C21" s="13" t="s">
        <v>986</v>
      </c>
      <c r="D21" s="13" t="s">
        <v>987</v>
      </c>
      <c r="E21" s="13" t="s">
        <v>988</v>
      </c>
    </row>
    <row r="22" customFormat="false" ht="15" hidden="false" customHeight="false" outlineLevel="0" collapsed="false">
      <c r="A22" s="13" t="s">
        <v>984</v>
      </c>
      <c r="B22" s="13" t="s">
        <v>989</v>
      </c>
      <c r="C22" s="13" t="s">
        <v>990</v>
      </c>
      <c r="D22" s="13" t="s">
        <v>987</v>
      </c>
      <c r="E22" s="13" t="s">
        <v>991</v>
      </c>
    </row>
    <row r="23" customFormat="false" ht="15" hidden="false" customHeight="false" outlineLevel="0" collapsed="false">
      <c r="A23" s="13" t="s">
        <v>980</v>
      </c>
      <c r="B23" s="13" t="s">
        <v>992</v>
      </c>
      <c r="C23" s="13" t="s">
        <v>993</v>
      </c>
      <c r="D23" s="13" t="s">
        <v>576</v>
      </c>
      <c r="E23" s="13" t="s">
        <v>994</v>
      </c>
    </row>
    <row r="24" customFormat="false" ht="15" hidden="false" customHeight="false" outlineLevel="0" collapsed="false">
      <c r="A24" s="13" t="s">
        <v>995</v>
      </c>
      <c r="B24" s="13" t="s">
        <v>996</v>
      </c>
      <c r="C24" s="13" t="s">
        <v>997</v>
      </c>
      <c r="D24" s="13" t="s">
        <v>576</v>
      </c>
      <c r="E24" s="13"/>
    </row>
    <row r="25" customFormat="false" ht="15" hidden="false" customHeight="false" outlineLevel="0" collapsed="false">
      <c r="A25" s="13" t="s">
        <v>980</v>
      </c>
      <c r="B25" s="13" t="s">
        <v>893</v>
      </c>
      <c r="C25" s="13" t="s">
        <v>998</v>
      </c>
      <c r="D25" s="13" t="s">
        <v>576</v>
      </c>
      <c r="E25" s="13" t="s">
        <v>894</v>
      </c>
    </row>
    <row r="26" customFormat="false" ht="15" hidden="false" customHeight="false" outlineLevel="0" collapsed="false">
      <c r="A26" s="13" t="s">
        <v>980</v>
      </c>
      <c r="B26" s="13" t="s">
        <v>897</v>
      </c>
      <c r="C26" s="13" t="s">
        <v>999</v>
      </c>
      <c r="D26" s="13" t="s">
        <v>576</v>
      </c>
      <c r="E26" s="13" t="s">
        <v>1000</v>
      </c>
    </row>
    <row r="27" customFormat="false" ht="15" hidden="false" customHeight="false" outlineLevel="0" collapsed="false">
      <c r="A27" s="13" t="s">
        <v>980</v>
      </c>
      <c r="B27" s="13" t="s">
        <v>904</v>
      </c>
      <c r="C27" s="13" t="s">
        <v>1001</v>
      </c>
      <c r="D27" s="13" t="s">
        <v>576</v>
      </c>
      <c r="E27" s="13" t="s">
        <v>905</v>
      </c>
    </row>
    <row r="28" customFormat="false" ht="15" hidden="false" customHeight="false" outlineLevel="0" collapsed="false">
      <c r="A28" s="13" t="s">
        <v>1002</v>
      </c>
      <c r="B28" s="13" t="s">
        <v>1003</v>
      </c>
      <c r="C28" s="13" t="s">
        <v>1004</v>
      </c>
      <c r="D28" s="13" t="s">
        <v>576</v>
      </c>
      <c r="E28" s="13" t="s">
        <v>1005</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22"/>
    <col collapsed="false" customWidth="true" hidden="false" outlineLevel="0" max="4" min="4" style="0" width="52"/>
    <col collapsed="false" customWidth="true" hidden="false" outlineLevel="0" max="6" min="5" style="0" width="22"/>
    <col collapsed="false" customWidth="true" hidden="false" outlineLevel="0" max="7" min="7" style="0" width="14"/>
    <col collapsed="false" customWidth="true" hidden="false" outlineLevel="0" max="8" min="8" style="0" width="26"/>
    <col collapsed="false" customWidth="true" hidden="false" outlineLevel="0" max="9" min="9" style="0" width="36"/>
    <col collapsed="false" customWidth="true" hidden="false" outlineLevel="0" max="10" min="10" style="0" width="24"/>
    <col collapsed="false" customWidth="true" hidden="false" outlineLevel="0" max="11" min="11" style="0" width="26"/>
    <col collapsed="false" customWidth="true" hidden="false" outlineLevel="0" max="12" min="12" style="0" width="22"/>
    <col collapsed="false" customWidth="true" hidden="false" outlineLevel="0" max="13" min="13" style="0" width="18"/>
  </cols>
  <sheetData>
    <row r="1" customFormat="false" ht="30" hidden="false" customHeight="true" outlineLevel="0" collapsed="false">
      <c r="A1" s="7" t="s">
        <v>76</v>
      </c>
      <c r="B1" s="7" t="s">
        <v>695</v>
      </c>
      <c r="C1" s="7" t="s">
        <v>1006</v>
      </c>
      <c r="D1" s="7" t="s">
        <v>1007</v>
      </c>
      <c r="E1" s="7" t="s">
        <v>88</v>
      </c>
      <c r="F1" s="7" t="s">
        <v>1008</v>
      </c>
      <c r="G1" s="7" t="s">
        <v>1009</v>
      </c>
      <c r="H1" s="7" t="s">
        <v>1010</v>
      </c>
      <c r="I1" s="7" t="s">
        <v>873</v>
      </c>
      <c r="J1" s="7" t="s">
        <v>1011</v>
      </c>
      <c r="K1" s="7" t="s">
        <v>1012</v>
      </c>
      <c r="L1" s="7" t="s">
        <v>118</v>
      </c>
      <c r="M1" s="7" t="s">
        <v>1013</v>
      </c>
    </row>
    <row r="2" customFormat="false" ht="15" hidden="false" customHeight="false" outlineLevel="0" collapsed="false">
      <c r="A2" s="13" t="s">
        <v>78</v>
      </c>
      <c r="B2" s="13" t="s">
        <v>4</v>
      </c>
      <c r="C2" s="13" t="s">
        <v>1014</v>
      </c>
      <c r="D2" s="13" t="s">
        <v>1015</v>
      </c>
      <c r="E2" s="13" t="s">
        <v>46</v>
      </c>
      <c r="F2" s="13" t="s">
        <v>1016</v>
      </c>
      <c r="G2" s="13" t="s">
        <v>1017</v>
      </c>
      <c r="H2" s="13" t="s">
        <v>1018</v>
      </c>
      <c r="I2" s="13" t="s">
        <v>1019</v>
      </c>
      <c r="J2" s="13" t="s">
        <v>1018</v>
      </c>
      <c r="K2" s="13" t="s">
        <v>1018</v>
      </c>
      <c r="L2" s="13" t="s">
        <v>1019</v>
      </c>
      <c r="M2" s="13"/>
    </row>
    <row r="3" customFormat="false" ht="15" hidden="false" customHeight="false" outlineLevel="0" collapsed="false">
      <c r="A3" s="13" t="s">
        <v>78</v>
      </c>
      <c r="B3" s="13" t="s">
        <v>6</v>
      </c>
      <c r="C3" s="13" t="s">
        <v>1014</v>
      </c>
      <c r="D3" s="13" t="s">
        <v>1020</v>
      </c>
      <c r="E3" s="13" t="s">
        <v>1016</v>
      </c>
      <c r="F3" s="13" t="s">
        <v>129</v>
      </c>
      <c r="G3" s="13" t="s">
        <v>1021</v>
      </c>
      <c r="H3" s="13" t="s">
        <v>1022</v>
      </c>
      <c r="I3" s="13" t="s">
        <v>1019</v>
      </c>
      <c r="J3" s="13" t="s">
        <v>1018</v>
      </c>
      <c r="K3" s="13" t="s">
        <v>129</v>
      </c>
      <c r="L3" s="13" t="s">
        <v>1019</v>
      </c>
      <c r="M3" s="13"/>
    </row>
    <row r="4" customFormat="false" ht="15" hidden="false" customHeight="false" outlineLevel="0" collapsed="false">
      <c r="A4" s="13" t="s">
        <v>78</v>
      </c>
      <c r="B4" s="13" t="s">
        <v>8</v>
      </c>
      <c r="C4" s="13" t="s">
        <v>1014</v>
      </c>
      <c r="D4" s="13" t="s">
        <v>1023</v>
      </c>
      <c r="E4" s="13" t="s">
        <v>129</v>
      </c>
      <c r="F4" s="13" t="s">
        <v>1016</v>
      </c>
      <c r="G4" s="13" t="s">
        <v>1024</v>
      </c>
      <c r="H4" s="13" t="s">
        <v>1018</v>
      </c>
      <c r="I4" s="13" t="s">
        <v>1025</v>
      </c>
      <c r="J4" s="13" t="s">
        <v>1018</v>
      </c>
      <c r="K4" s="13" t="s">
        <v>129</v>
      </c>
      <c r="L4" s="13" t="s">
        <v>1019</v>
      </c>
      <c r="M4" s="13"/>
    </row>
    <row r="5" customFormat="false" ht="15" hidden="false" customHeight="false" outlineLevel="0" collapsed="false">
      <c r="A5" s="13" t="s">
        <v>78</v>
      </c>
      <c r="B5" s="13" t="s">
        <v>10</v>
      </c>
      <c r="C5" s="13" t="s">
        <v>1014</v>
      </c>
      <c r="D5" s="13" t="s">
        <v>1026</v>
      </c>
      <c r="E5" s="13" t="s">
        <v>1016</v>
      </c>
      <c r="F5" s="13" t="s">
        <v>46</v>
      </c>
      <c r="G5" s="13" t="s">
        <v>1027</v>
      </c>
      <c r="H5" s="13" t="s">
        <v>1018</v>
      </c>
      <c r="I5" s="13" t="s">
        <v>1025</v>
      </c>
      <c r="J5" s="13" t="s">
        <v>1018</v>
      </c>
      <c r="K5" s="13" t="s">
        <v>1018</v>
      </c>
      <c r="L5" s="13" t="s">
        <v>1019</v>
      </c>
      <c r="M5" s="13"/>
    </row>
    <row r="6" customFormat="false" ht="23.85" hidden="false" customHeight="false" outlineLevel="0" collapsed="false">
      <c r="A6" s="13" t="s">
        <v>78</v>
      </c>
      <c r="B6" s="13" t="s">
        <v>12</v>
      </c>
      <c r="C6" s="13" t="s">
        <v>1028</v>
      </c>
      <c r="D6" s="13" t="s">
        <v>1029</v>
      </c>
      <c r="E6" s="13" t="s">
        <v>46</v>
      </c>
      <c r="F6" s="13" t="s">
        <v>1016</v>
      </c>
      <c r="G6" s="13" t="s">
        <v>1017</v>
      </c>
      <c r="H6" s="13" t="s">
        <v>1018</v>
      </c>
      <c r="I6" s="13" t="s">
        <v>1028</v>
      </c>
      <c r="J6" s="13" t="s">
        <v>1018</v>
      </c>
      <c r="K6" s="13" t="s">
        <v>1018</v>
      </c>
      <c r="L6" s="13" t="s">
        <v>1019</v>
      </c>
      <c r="M6" s="13"/>
    </row>
    <row r="7" customFormat="false" ht="15" hidden="false" customHeight="false" outlineLevel="0" collapsed="false">
      <c r="A7" s="13" t="s">
        <v>78</v>
      </c>
      <c r="B7" s="13" t="s">
        <v>1030</v>
      </c>
      <c r="C7" s="13" t="s">
        <v>1028</v>
      </c>
      <c r="D7" s="13" t="s">
        <v>1031</v>
      </c>
      <c r="E7" s="13" t="s">
        <v>46</v>
      </c>
      <c r="F7" s="13" t="s">
        <v>1016</v>
      </c>
      <c r="G7" s="13" t="s">
        <v>1017</v>
      </c>
      <c r="H7" s="13" t="s">
        <v>1018</v>
      </c>
      <c r="I7" s="13" t="s">
        <v>1028</v>
      </c>
      <c r="J7" s="13" t="s">
        <v>1018</v>
      </c>
      <c r="K7" s="13" t="s">
        <v>1018</v>
      </c>
      <c r="L7" s="13" t="s">
        <v>1019</v>
      </c>
      <c r="M7" s="13"/>
    </row>
    <row r="8" customFormat="false" ht="15" hidden="false" customHeight="false" outlineLevel="0" collapsed="false">
      <c r="A8" s="13" t="s">
        <v>78</v>
      </c>
      <c r="B8" s="13" t="s">
        <v>1032</v>
      </c>
      <c r="C8" s="13" t="s">
        <v>1028</v>
      </c>
      <c r="D8" s="13" t="s">
        <v>1033</v>
      </c>
      <c r="E8" s="13" t="s">
        <v>1016</v>
      </c>
      <c r="F8" s="13" t="s">
        <v>129</v>
      </c>
      <c r="G8" s="13" t="s">
        <v>1034</v>
      </c>
      <c r="H8" s="13" t="s">
        <v>505</v>
      </c>
      <c r="I8" s="13" t="s">
        <v>1028</v>
      </c>
      <c r="J8" s="13" t="s">
        <v>1018</v>
      </c>
      <c r="K8" s="13" t="s">
        <v>129</v>
      </c>
      <c r="L8" s="13" t="s">
        <v>1019</v>
      </c>
      <c r="M8" s="13"/>
    </row>
    <row r="9" customFormat="false" ht="23.85" hidden="false" customHeight="false" outlineLevel="0" collapsed="false">
      <c r="A9" s="13" t="s">
        <v>78</v>
      </c>
      <c r="B9" s="13" t="s">
        <v>1035</v>
      </c>
      <c r="C9" s="13" t="s">
        <v>1028</v>
      </c>
      <c r="D9" s="13" t="s">
        <v>1036</v>
      </c>
      <c r="E9" s="13" t="s">
        <v>129</v>
      </c>
      <c r="F9" s="13" t="s">
        <v>129</v>
      </c>
      <c r="G9" s="13" t="s">
        <v>242</v>
      </c>
      <c r="H9" s="13" t="s">
        <v>1018</v>
      </c>
      <c r="I9" s="13" t="s">
        <v>1028</v>
      </c>
      <c r="J9" s="13" t="s">
        <v>1037</v>
      </c>
      <c r="K9" s="13" t="s">
        <v>129</v>
      </c>
      <c r="L9" s="13" t="s">
        <v>1019</v>
      </c>
      <c r="M9" s="13" t="s">
        <v>1038</v>
      </c>
    </row>
    <row r="10" customFormat="false" ht="23.85" hidden="false" customHeight="false" outlineLevel="0" collapsed="false">
      <c r="A10" s="13" t="s">
        <v>78</v>
      </c>
      <c r="B10" s="13" t="s">
        <v>1039</v>
      </c>
      <c r="C10" s="13" t="s">
        <v>1028</v>
      </c>
      <c r="D10" s="13" t="s">
        <v>1040</v>
      </c>
      <c r="E10" s="13" t="s">
        <v>129</v>
      </c>
      <c r="F10" s="13" t="s">
        <v>576</v>
      </c>
      <c r="G10" s="13" t="s">
        <v>1034</v>
      </c>
      <c r="H10" s="13" t="s">
        <v>505</v>
      </c>
      <c r="I10" s="13" t="s">
        <v>1041</v>
      </c>
      <c r="J10" s="13" t="s">
        <v>965</v>
      </c>
      <c r="K10" s="13" t="s">
        <v>1042</v>
      </c>
      <c r="L10" s="13" t="s">
        <v>132</v>
      </c>
      <c r="M10" s="13" t="s">
        <v>1043</v>
      </c>
    </row>
    <row r="11" customFormat="false" ht="23.85" hidden="false" customHeight="false" outlineLevel="0" collapsed="false">
      <c r="A11" s="13" t="s">
        <v>78</v>
      </c>
      <c r="B11" s="13" t="s">
        <v>1044</v>
      </c>
      <c r="C11" s="13" t="s">
        <v>1028</v>
      </c>
      <c r="D11" s="13" t="s">
        <v>1045</v>
      </c>
      <c r="E11" s="13" t="s">
        <v>576</v>
      </c>
      <c r="F11" s="13" t="s">
        <v>576</v>
      </c>
      <c r="G11" s="13" t="s">
        <v>242</v>
      </c>
      <c r="H11" s="13" t="s">
        <v>1018</v>
      </c>
      <c r="I11" s="13" t="s">
        <v>1046</v>
      </c>
      <c r="J11" s="13" t="s">
        <v>965</v>
      </c>
      <c r="K11" s="13" t="s">
        <v>1042</v>
      </c>
      <c r="L11" s="13" t="s">
        <v>1019</v>
      </c>
      <c r="M11" s="13" t="s">
        <v>125</v>
      </c>
    </row>
    <row r="12" customFormat="false" ht="23.85" hidden="false" customHeight="false" outlineLevel="0" collapsed="false">
      <c r="A12" s="13" t="s">
        <v>78</v>
      </c>
      <c r="B12" s="13" t="s">
        <v>1047</v>
      </c>
      <c r="C12" s="13" t="s">
        <v>1028</v>
      </c>
      <c r="D12" s="13" t="s">
        <v>1048</v>
      </c>
      <c r="E12" s="13" t="s">
        <v>576</v>
      </c>
      <c r="F12" s="13" t="s">
        <v>576</v>
      </c>
      <c r="G12" s="13" t="s">
        <v>242</v>
      </c>
      <c r="H12" s="13" t="s">
        <v>1018</v>
      </c>
      <c r="I12" s="13" t="s">
        <v>1049</v>
      </c>
      <c r="J12" s="13" t="s">
        <v>965</v>
      </c>
      <c r="K12" s="13" t="s">
        <v>1042</v>
      </c>
      <c r="L12" s="13" t="s">
        <v>1019</v>
      </c>
      <c r="M12" s="13" t="s">
        <v>125</v>
      </c>
    </row>
    <row r="13" customFormat="false" ht="23.85" hidden="false" customHeight="false" outlineLevel="0" collapsed="false">
      <c r="A13" s="13" t="s">
        <v>78</v>
      </c>
      <c r="B13" s="13" t="s">
        <v>1050</v>
      </c>
      <c r="C13" s="13" t="s">
        <v>1028</v>
      </c>
      <c r="D13" s="13" t="s">
        <v>1051</v>
      </c>
      <c r="E13" s="13" t="s">
        <v>576</v>
      </c>
      <c r="F13" s="13" t="s">
        <v>129</v>
      </c>
      <c r="G13" s="13" t="s">
        <v>1052</v>
      </c>
      <c r="H13" s="13" t="s">
        <v>1018</v>
      </c>
      <c r="I13" s="13" t="s">
        <v>1053</v>
      </c>
      <c r="J13" s="13" t="s">
        <v>1018</v>
      </c>
      <c r="K13" s="13" t="s">
        <v>1042</v>
      </c>
      <c r="L13" s="13" t="s">
        <v>132</v>
      </c>
      <c r="M13" s="13" t="s">
        <v>125</v>
      </c>
    </row>
    <row r="14" customFormat="false" ht="15" hidden="false" customHeight="false" outlineLevel="0" collapsed="false">
      <c r="A14" s="13" t="s">
        <v>78</v>
      </c>
      <c r="B14" s="13" t="s">
        <v>1054</v>
      </c>
      <c r="C14" s="13" t="s">
        <v>1028</v>
      </c>
      <c r="D14" s="13" t="s">
        <v>1055</v>
      </c>
      <c r="E14" s="13" t="s">
        <v>129</v>
      </c>
      <c r="F14" s="13" t="s">
        <v>1016</v>
      </c>
      <c r="G14" s="13" t="s">
        <v>1056</v>
      </c>
      <c r="H14" s="13" t="s">
        <v>1018</v>
      </c>
      <c r="I14" s="13" t="s">
        <v>1025</v>
      </c>
      <c r="J14" s="13" t="s">
        <v>1018</v>
      </c>
      <c r="K14" s="13" t="s">
        <v>129</v>
      </c>
      <c r="L14" s="13" t="s">
        <v>1019</v>
      </c>
      <c r="M14" s="13"/>
    </row>
    <row r="15" customFormat="false" ht="15" hidden="false" customHeight="false" outlineLevel="0" collapsed="false">
      <c r="A15" s="13" t="s">
        <v>78</v>
      </c>
      <c r="B15" s="13" t="s">
        <v>1057</v>
      </c>
      <c r="C15" s="13" t="s">
        <v>1028</v>
      </c>
      <c r="D15" s="13" t="s">
        <v>1058</v>
      </c>
      <c r="E15" s="13" t="s">
        <v>1016</v>
      </c>
      <c r="F15" s="13" t="s">
        <v>46</v>
      </c>
      <c r="G15" s="13" t="s">
        <v>1027</v>
      </c>
      <c r="H15" s="13" t="s">
        <v>1018</v>
      </c>
      <c r="I15" s="13" t="s">
        <v>1025</v>
      </c>
      <c r="J15" s="13" t="s">
        <v>1018</v>
      </c>
      <c r="K15" s="13" t="s">
        <v>1018</v>
      </c>
      <c r="L15" s="13" t="s">
        <v>1019</v>
      </c>
      <c r="M15" s="13"/>
    </row>
    <row r="16" customFormat="false" ht="15" hidden="false" customHeight="false" outlineLevel="0" collapsed="false">
      <c r="A16" s="13" t="s">
        <v>78</v>
      </c>
      <c r="B16" s="13" t="s">
        <v>1059</v>
      </c>
      <c r="C16" s="13" t="s">
        <v>1060</v>
      </c>
      <c r="D16" s="13" t="s">
        <v>1061</v>
      </c>
      <c r="E16" s="13" t="s">
        <v>46</v>
      </c>
      <c r="F16" s="13" t="s">
        <v>1016</v>
      </c>
      <c r="G16" s="13" t="s">
        <v>1017</v>
      </c>
      <c r="H16" s="13" t="s">
        <v>1018</v>
      </c>
      <c r="I16" s="13" t="s">
        <v>1062</v>
      </c>
      <c r="J16" s="13" t="s">
        <v>1018</v>
      </c>
      <c r="K16" s="13" t="s">
        <v>1018</v>
      </c>
      <c r="L16" s="13" t="s">
        <v>1019</v>
      </c>
      <c r="M16" s="13"/>
    </row>
    <row r="17" customFormat="false" ht="23.85" hidden="false" customHeight="false" outlineLevel="0" collapsed="false">
      <c r="A17" s="13" t="s">
        <v>78</v>
      </c>
      <c r="B17" s="13" t="s">
        <v>1063</v>
      </c>
      <c r="C17" s="13" t="s">
        <v>1060</v>
      </c>
      <c r="D17" s="13" t="s">
        <v>1064</v>
      </c>
      <c r="E17" s="13" t="s">
        <v>1016</v>
      </c>
      <c r="F17" s="13" t="s">
        <v>156</v>
      </c>
      <c r="G17" s="13" t="s">
        <v>251</v>
      </c>
      <c r="H17" s="13" t="s">
        <v>1065</v>
      </c>
      <c r="I17" s="13" t="s">
        <v>1066</v>
      </c>
      <c r="J17" s="13" t="s">
        <v>1067</v>
      </c>
      <c r="K17" s="13" t="s">
        <v>132</v>
      </c>
      <c r="L17" s="13" t="s">
        <v>208</v>
      </c>
      <c r="M17" s="13" t="s">
        <v>317</v>
      </c>
    </row>
    <row r="18" customFormat="false" ht="15" hidden="false" customHeight="false" outlineLevel="0" collapsed="false">
      <c r="A18" s="13" t="s">
        <v>78</v>
      </c>
      <c r="B18" s="13" t="s">
        <v>1068</v>
      </c>
      <c r="C18" s="13" t="s">
        <v>1060</v>
      </c>
      <c r="D18" s="13" t="s">
        <v>1031</v>
      </c>
      <c r="E18" s="13" t="s">
        <v>46</v>
      </c>
      <c r="F18" s="13" t="s">
        <v>1016</v>
      </c>
      <c r="G18" s="13" t="s">
        <v>1017</v>
      </c>
      <c r="H18" s="13" t="s">
        <v>1018</v>
      </c>
      <c r="I18" s="13" t="s">
        <v>1069</v>
      </c>
      <c r="J18" s="13" t="s">
        <v>1018</v>
      </c>
      <c r="K18" s="13" t="s">
        <v>1018</v>
      </c>
      <c r="L18" s="13" t="s">
        <v>1019</v>
      </c>
      <c r="M18" s="13"/>
    </row>
    <row r="19" customFormat="false" ht="15" hidden="false" customHeight="false" outlineLevel="0" collapsed="false">
      <c r="A19" s="13" t="s">
        <v>78</v>
      </c>
      <c r="B19" s="13" t="s">
        <v>1070</v>
      </c>
      <c r="C19" s="13" t="s">
        <v>1060</v>
      </c>
      <c r="D19" s="13" t="s">
        <v>1071</v>
      </c>
      <c r="E19" s="13" t="s">
        <v>1016</v>
      </c>
      <c r="F19" s="13" t="s">
        <v>129</v>
      </c>
      <c r="G19" s="13" t="s">
        <v>1034</v>
      </c>
      <c r="H19" s="13" t="s">
        <v>514</v>
      </c>
      <c r="I19" s="13" t="s">
        <v>1069</v>
      </c>
      <c r="J19" s="13" t="s">
        <v>1018</v>
      </c>
      <c r="K19" s="13" t="s">
        <v>129</v>
      </c>
      <c r="L19" s="13" t="s">
        <v>1019</v>
      </c>
      <c r="M19" s="13"/>
    </row>
    <row r="20" customFormat="false" ht="15" hidden="false" customHeight="false" outlineLevel="0" collapsed="false">
      <c r="A20" s="13" t="s">
        <v>78</v>
      </c>
      <c r="B20" s="13" t="s">
        <v>1072</v>
      </c>
      <c r="C20" s="13" t="s">
        <v>1060</v>
      </c>
      <c r="D20" s="13" t="s">
        <v>1073</v>
      </c>
      <c r="E20" s="13" t="s">
        <v>129</v>
      </c>
      <c r="F20" s="13" t="s">
        <v>129</v>
      </c>
      <c r="G20" s="13" t="s">
        <v>242</v>
      </c>
      <c r="H20" s="13" t="s">
        <v>1018</v>
      </c>
      <c r="I20" s="13" t="s">
        <v>1069</v>
      </c>
      <c r="J20" s="13" t="s">
        <v>962</v>
      </c>
      <c r="K20" s="13" t="s">
        <v>129</v>
      </c>
      <c r="L20" s="13" t="s">
        <v>1019</v>
      </c>
      <c r="M20" s="13"/>
    </row>
    <row r="21" customFormat="false" ht="15" hidden="false" customHeight="false" outlineLevel="0" collapsed="false">
      <c r="A21" s="13" t="s">
        <v>78</v>
      </c>
      <c r="B21" s="13" t="s">
        <v>1074</v>
      </c>
      <c r="C21" s="13" t="s">
        <v>1060</v>
      </c>
      <c r="D21" s="13" t="s">
        <v>1075</v>
      </c>
      <c r="E21" s="13" t="s">
        <v>129</v>
      </c>
      <c r="F21" s="13" t="s">
        <v>129</v>
      </c>
      <c r="G21" s="13" t="s">
        <v>242</v>
      </c>
      <c r="H21" s="13" t="s">
        <v>1018</v>
      </c>
      <c r="I21" s="13" t="s">
        <v>1076</v>
      </c>
      <c r="J21" s="13" t="s">
        <v>962</v>
      </c>
      <c r="K21" s="13" t="s">
        <v>129</v>
      </c>
      <c r="L21" s="13" t="s">
        <v>1019</v>
      </c>
      <c r="M21" s="13" t="s">
        <v>1077</v>
      </c>
    </row>
    <row r="22" customFormat="false" ht="35.05" hidden="false" customHeight="false" outlineLevel="0" collapsed="false">
      <c r="A22" s="13" t="s">
        <v>78</v>
      </c>
      <c r="B22" s="13" t="s">
        <v>1078</v>
      </c>
      <c r="C22" s="13" t="s">
        <v>1060</v>
      </c>
      <c r="D22" s="13" t="s">
        <v>1079</v>
      </c>
      <c r="E22" s="13" t="s">
        <v>129</v>
      </c>
      <c r="F22" s="13" t="s">
        <v>1016</v>
      </c>
      <c r="G22" s="13" t="s">
        <v>1080</v>
      </c>
      <c r="H22" s="13" t="s">
        <v>1018</v>
      </c>
      <c r="I22" s="13" t="s">
        <v>1081</v>
      </c>
      <c r="J22" s="13" t="s">
        <v>1018</v>
      </c>
      <c r="K22" s="13" t="s">
        <v>129</v>
      </c>
      <c r="L22" s="13" t="s">
        <v>1019</v>
      </c>
      <c r="M22" s="13"/>
    </row>
    <row r="23" customFormat="false" ht="15" hidden="false" customHeight="false" outlineLevel="0" collapsed="false">
      <c r="A23" s="13" t="s">
        <v>78</v>
      </c>
      <c r="B23" s="13" t="s">
        <v>1082</v>
      </c>
      <c r="C23" s="13" t="s">
        <v>1060</v>
      </c>
      <c r="D23" s="13" t="s">
        <v>1083</v>
      </c>
      <c r="E23" s="13" t="s">
        <v>1016</v>
      </c>
      <c r="F23" s="13" t="s">
        <v>46</v>
      </c>
      <c r="G23" s="13" t="s">
        <v>1027</v>
      </c>
      <c r="H23" s="13" t="s">
        <v>1018</v>
      </c>
      <c r="I23" s="13" t="s">
        <v>1025</v>
      </c>
      <c r="J23" s="13" t="s">
        <v>1018</v>
      </c>
      <c r="K23" s="13" t="s">
        <v>1018</v>
      </c>
      <c r="L23" s="13" t="s">
        <v>1019</v>
      </c>
      <c r="M23" s="13"/>
    </row>
    <row r="24" customFormat="false" ht="23.85" hidden="false" customHeight="false" outlineLevel="0" collapsed="false">
      <c r="A24" s="13" t="s">
        <v>78</v>
      </c>
      <c r="B24" s="13" t="s">
        <v>1084</v>
      </c>
      <c r="C24" s="13" t="s">
        <v>1085</v>
      </c>
      <c r="D24" s="13" t="s">
        <v>1086</v>
      </c>
      <c r="E24" s="13" t="s">
        <v>46</v>
      </c>
      <c r="F24" s="13" t="s">
        <v>1016</v>
      </c>
      <c r="G24" s="13" t="s">
        <v>1017</v>
      </c>
      <c r="H24" s="13" t="s">
        <v>1018</v>
      </c>
      <c r="I24" s="13" t="s">
        <v>1019</v>
      </c>
      <c r="J24" s="13" t="s">
        <v>1018</v>
      </c>
      <c r="K24" s="13" t="s">
        <v>1018</v>
      </c>
      <c r="L24" s="13" t="s">
        <v>1019</v>
      </c>
      <c r="M24" s="13"/>
    </row>
    <row r="25" customFormat="false" ht="23.85" hidden="false" customHeight="false" outlineLevel="0" collapsed="false">
      <c r="A25" s="13" t="s">
        <v>78</v>
      </c>
      <c r="B25" s="13" t="s">
        <v>1087</v>
      </c>
      <c r="C25" s="13" t="s">
        <v>1085</v>
      </c>
      <c r="D25" s="13" t="s">
        <v>1088</v>
      </c>
      <c r="E25" s="13" t="s">
        <v>1016</v>
      </c>
      <c r="F25" s="13" t="s">
        <v>129</v>
      </c>
      <c r="G25" s="13" t="s">
        <v>1021</v>
      </c>
      <c r="H25" s="13" t="s">
        <v>1022</v>
      </c>
      <c r="I25" s="13" t="s">
        <v>1019</v>
      </c>
      <c r="J25" s="13" t="s">
        <v>1018</v>
      </c>
      <c r="K25" s="13" t="s">
        <v>129</v>
      </c>
      <c r="L25" s="13" t="s">
        <v>1019</v>
      </c>
      <c r="M25" s="13"/>
    </row>
    <row r="26" customFormat="false" ht="23.85" hidden="false" customHeight="false" outlineLevel="0" collapsed="false">
      <c r="A26" s="13" t="s">
        <v>78</v>
      </c>
      <c r="B26" s="13" t="s">
        <v>1089</v>
      </c>
      <c r="C26" s="13" t="s">
        <v>1085</v>
      </c>
      <c r="D26" s="13" t="s">
        <v>1090</v>
      </c>
      <c r="E26" s="13" t="s">
        <v>129</v>
      </c>
      <c r="F26" s="13" t="s">
        <v>1016</v>
      </c>
      <c r="G26" s="13" t="s">
        <v>1091</v>
      </c>
      <c r="H26" s="13" t="s">
        <v>1018</v>
      </c>
      <c r="I26" s="13" t="s">
        <v>1025</v>
      </c>
      <c r="J26" s="13" t="s">
        <v>1018</v>
      </c>
      <c r="K26" s="13" t="s">
        <v>129</v>
      </c>
      <c r="L26" s="13" t="s">
        <v>1019</v>
      </c>
      <c r="M26" s="13"/>
    </row>
    <row r="27" customFormat="false" ht="23.85" hidden="false" customHeight="false" outlineLevel="0" collapsed="false">
      <c r="A27" s="13" t="s">
        <v>78</v>
      </c>
      <c r="B27" s="13" t="s">
        <v>1092</v>
      </c>
      <c r="C27" s="13" t="s">
        <v>1085</v>
      </c>
      <c r="D27" s="13" t="s">
        <v>1093</v>
      </c>
      <c r="E27" s="13" t="s">
        <v>1016</v>
      </c>
      <c r="F27" s="13" t="s">
        <v>46</v>
      </c>
      <c r="G27" s="13" t="s">
        <v>1027</v>
      </c>
      <c r="H27" s="13" t="s">
        <v>1018</v>
      </c>
      <c r="I27" s="13" t="s">
        <v>1025</v>
      </c>
      <c r="J27" s="13" t="s">
        <v>1018</v>
      </c>
      <c r="K27" s="13" t="s">
        <v>1018</v>
      </c>
      <c r="L27" s="13" t="s">
        <v>1019</v>
      </c>
      <c r="M27" s="13"/>
    </row>
    <row r="28" customFormat="false" ht="23.85" hidden="false" customHeight="false" outlineLevel="0" collapsed="false">
      <c r="A28" s="13" t="s">
        <v>78</v>
      </c>
      <c r="B28" s="13" t="s">
        <v>1094</v>
      </c>
      <c r="C28" s="13" t="s">
        <v>1085</v>
      </c>
      <c r="D28" s="13" t="s">
        <v>1095</v>
      </c>
      <c r="E28" s="13" t="s">
        <v>46</v>
      </c>
      <c r="F28" s="13" t="s">
        <v>1016</v>
      </c>
      <c r="G28" s="13" t="s">
        <v>1017</v>
      </c>
      <c r="H28" s="13" t="s">
        <v>1018</v>
      </c>
      <c r="I28" s="13" t="s">
        <v>1069</v>
      </c>
      <c r="J28" s="13" t="s">
        <v>1018</v>
      </c>
      <c r="K28" s="13" t="s">
        <v>1018</v>
      </c>
      <c r="L28" s="13" t="s">
        <v>1019</v>
      </c>
      <c r="M28" s="13"/>
    </row>
    <row r="29" customFormat="false" ht="23.85" hidden="false" customHeight="false" outlineLevel="0" collapsed="false">
      <c r="A29" s="13" t="s">
        <v>78</v>
      </c>
      <c r="B29" s="13" t="s">
        <v>1096</v>
      </c>
      <c r="C29" s="13" t="s">
        <v>1085</v>
      </c>
      <c r="D29" s="13" t="s">
        <v>1071</v>
      </c>
      <c r="E29" s="13" t="s">
        <v>1016</v>
      </c>
      <c r="F29" s="13" t="s">
        <v>129</v>
      </c>
      <c r="G29" s="13" t="s">
        <v>1034</v>
      </c>
      <c r="H29" s="13" t="s">
        <v>523</v>
      </c>
      <c r="I29" s="13" t="s">
        <v>1069</v>
      </c>
      <c r="J29" s="13" t="s">
        <v>1018</v>
      </c>
      <c r="K29" s="13" t="s">
        <v>129</v>
      </c>
      <c r="L29" s="13" t="s">
        <v>1019</v>
      </c>
      <c r="M29" s="13"/>
    </row>
    <row r="30" customFormat="false" ht="23.85" hidden="false" customHeight="false" outlineLevel="0" collapsed="false">
      <c r="A30" s="13" t="s">
        <v>78</v>
      </c>
      <c r="B30" s="13" t="s">
        <v>1097</v>
      </c>
      <c r="C30" s="13" t="s">
        <v>1085</v>
      </c>
      <c r="D30" s="13" t="s">
        <v>1073</v>
      </c>
      <c r="E30" s="13" t="s">
        <v>129</v>
      </c>
      <c r="F30" s="13" t="s">
        <v>129</v>
      </c>
      <c r="G30" s="13" t="s">
        <v>242</v>
      </c>
      <c r="H30" s="13" t="s">
        <v>1018</v>
      </c>
      <c r="I30" s="13" t="s">
        <v>1069</v>
      </c>
      <c r="J30" s="13" t="s">
        <v>962</v>
      </c>
      <c r="K30" s="13" t="s">
        <v>129</v>
      </c>
      <c r="L30" s="13" t="s">
        <v>1019</v>
      </c>
      <c r="M30" s="13"/>
    </row>
    <row r="31" customFormat="false" ht="23.85" hidden="false" customHeight="false" outlineLevel="0" collapsed="false">
      <c r="A31" s="13" t="s">
        <v>78</v>
      </c>
      <c r="B31" s="13" t="s">
        <v>1098</v>
      </c>
      <c r="C31" s="13" t="s">
        <v>1085</v>
      </c>
      <c r="D31" s="13" t="s">
        <v>1099</v>
      </c>
      <c r="E31" s="13" t="s">
        <v>129</v>
      </c>
      <c r="F31" s="13" t="s">
        <v>1016</v>
      </c>
      <c r="G31" s="13" t="s">
        <v>1100</v>
      </c>
      <c r="H31" s="13" t="s">
        <v>1018</v>
      </c>
      <c r="I31" s="13" t="s">
        <v>1101</v>
      </c>
      <c r="J31" s="13" t="s">
        <v>1018</v>
      </c>
      <c r="K31" s="13" t="s">
        <v>129</v>
      </c>
      <c r="L31" s="13" t="s">
        <v>1019</v>
      </c>
      <c r="M31" s="13"/>
    </row>
    <row r="32" customFormat="false" ht="23.85" hidden="false" customHeight="false" outlineLevel="0" collapsed="false">
      <c r="A32" s="13" t="s">
        <v>78</v>
      </c>
      <c r="B32" s="13" t="s">
        <v>1102</v>
      </c>
      <c r="C32" s="13" t="s">
        <v>1085</v>
      </c>
      <c r="D32" s="13" t="s">
        <v>1103</v>
      </c>
      <c r="E32" s="13" t="s">
        <v>1016</v>
      </c>
      <c r="F32" s="13" t="s">
        <v>46</v>
      </c>
      <c r="G32" s="13" t="s">
        <v>1027</v>
      </c>
      <c r="H32" s="13" t="s">
        <v>1018</v>
      </c>
      <c r="I32" s="13" t="s">
        <v>1025</v>
      </c>
      <c r="J32" s="13" t="s">
        <v>1018</v>
      </c>
      <c r="K32" s="13" t="s">
        <v>1018</v>
      </c>
      <c r="L32" s="13" t="s">
        <v>1019</v>
      </c>
      <c r="M32" s="13"/>
    </row>
    <row r="33" customFormat="false" ht="15" hidden="false" customHeight="false" outlineLevel="0" collapsed="false">
      <c r="A33" s="13" t="s">
        <v>78</v>
      </c>
      <c r="B33" s="13" t="s">
        <v>1104</v>
      </c>
      <c r="C33" s="13" t="s">
        <v>719</v>
      </c>
      <c r="D33" s="13" t="s">
        <v>1105</v>
      </c>
      <c r="E33" s="13" t="s">
        <v>46</v>
      </c>
      <c r="F33" s="13" t="s">
        <v>1016</v>
      </c>
      <c r="G33" s="13" t="s">
        <v>1017</v>
      </c>
      <c r="H33" s="13" t="s">
        <v>1018</v>
      </c>
      <c r="I33" s="13" t="s">
        <v>1019</v>
      </c>
      <c r="J33" s="13" t="s">
        <v>1018</v>
      </c>
      <c r="K33" s="13" t="s">
        <v>1018</v>
      </c>
      <c r="L33" s="13" t="s">
        <v>1019</v>
      </c>
      <c r="M33" s="13"/>
    </row>
    <row r="34" customFormat="false" ht="15" hidden="false" customHeight="false" outlineLevel="0" collapsed="false">
      <c r="A34" s="13" t="s">
        <v>78</v>
      </c>
      <c r="B34" s="13" t="s">
        <v>1106</v>
      </c>
      <c r="C34" s="13" t="s">
        <v>719</v>
      </c>
      <c r="D34" s="13" t="s">
        <v>1107</v>
      </c>
      <c r="E34" s="13" t="s">
        <v>1016</v>
      </c>
      <c r="F34" s="13" t="s">
        <v>129</v>
      </c>
      <c r="G34" s="13" t="s">
        <v>1034</v>
      </c>
      <c r="H34" s="13" t="s">
        <v>528</v>
      </c>
      <c r="I34" s="13" t="s">
        <v>1069</v>
      </c>
      <c r="J34" s="13" t="s">
        <v>1018</v>
      </c>
      <c r="K34" s="13" t="s">
        <v>129</v>
      </c>
      <c r="L34" s="13" t="s">
        <v>1019</v>
      </c>
      <c r="M34" s="13" t="s">
        <v>136</v>
      </c>
    </row>
    <row r="35" customFormat="false" ht="15" hidden="false" customHeight="false" outlineLevel="0" collapsed="false">
      <c r="A35" s="13" t="s">
        <v>78</v>
      </c>
      <c r="B35" s="13" t="s">
        <v>1108</v>
      </c>
      <c r="C35" s="13" t="s">
        <v>719</v>
      </c>
      <c r="D35" s="13" t="s">
        <v>1107</v>
      </c>
      <c r="E35" s="13" t="s">
        <v>129</v>
      </c>
      <c r="F35" s="13" t="s">
        <v>576</v>
      </c>
      <c r="G35" s="13" t="s">
        <v>1034</v>
      </c>
      <c r="H35" s="13" t="s">
        <v>528</v>
      </c>
      <c r="I35" s="13" t="s">
        <v>1069</v>
      </c>
      <c r="J35" s="13" t="s">
        <v>1018</v>
      </c>
      <c r="K35" s="13" t="s">
        <v>1109</v>
      </c>
      <c r="L35" s="13" t="s">
        <v>132</v>
      </c>
      <c r="M35" s="13" t="s">
        <v>136</v>
      </c>
    </row>
    <row r="36" customFormat="false" ht="15" hidden="false" customHeight="false" outlineLevel="0" collapsed="false">
      <c r="A36" s="13" t="s">
        <v>78</v>
      </c>
      <c r="B36" s="13" t="s">
        <v>1110</v>
      </c>
      <c r="C36" s="13" t="s">
        <v>719</v>
      </c>
      <c r="D36" s="13" t="s">
        <v>1111</v>
      </c>
      <c r="E36" s="13" t="s">
        <v>576</v>
      </c>
      <c r="F36" s="13" t="s">
        <v>576</v>
      </c>
      <c r="G36" s="13" t="s">
        <v>242</v>
      </c>
      <c r="H36" s="13" t="s">
        <v>1018</v>
      </c>
      <c r="I36" s="13" t="s">
        <v>1069</v>
      </c>
      <c r="J36" s="13" t="s">
        <v>965</v>
      </c>
      <c r="K36" s="13" t="s">
        <v>1042</v>
      </c>
      <c r="L36" s="13" t="s">
        <v>1019</v>
      </c>
      <c r="M36" s="13" t="s">
        <v>136</v>
      </c>
    </row>
    <row r="37" customFormat="false" ht="15" hidden="false" customHeight="false" outlineLevel="0" collapsed="false">
      <c r="A37" s="13" t="s">
        <v>78</v>
      </c>
      <c r="B37" s="13" t="s">
        <v>1112</v>
      </c>
      <c r="C37" s="13" t="s">
        <v>719</v>
      </c>
      <c r="D37" s="13" t="s">
        <v>1113</v>
      </c>
      <c r="E37" s="13" t="s">
        <v>576</v>
      </c>
      <c r="F37" s="13" t="s">
        <v>129</v>
      </c>
      <c r="G37" s="13" t="s">
        <v>1114</v>
      </c>
      <c r="H37" s="13" t="s">
        <v>1018</v>
      </c>
      <c r="I37" s="13" t="s">
        <v>1115</v>
      </c>
      <c r="J37" s="13" t="s">
        <v>1018</v>
      </c>
      <c r="K37" s="13" t="s">
        <v>1109</v>
      </c>
      <c r="L37" s="13" t="s">
        <v>132</v>
      </c>
      <c r="M37" s="13" t="s">
        <v>136</v>
      </c>
    </row>
    <row r="38" customFormat="false" ht="15" hidden="false" customHeight="false" outlineLevel="0" collapsed="false">
      <c r="A38" s="13" t="s">
        <v>78</v>
      </c>
      <c r="B38" s="13" t="s">
        <v>1116</v>
      </c>
      <c r="C38" s="13" t="s">
        <v>719</v>
      </c>
      <c r="D38" s="13" t="s">
        <v>1113</v>
      </c>
      <c r="E38" s="13" t="s">
        <v>129</v>
      </c>
      <c r="F38" s="13" t="s">
        <v>1016</v>
      </c>
      <c r="G38" s="13" t="s">
        <v>1117</v>
      </c>
      <c r="H38" s="13" t="s">
        <v>1018</v>
      </c>
      <c r="I38" s="13" t="s">
        <v>1115</v>
      </c>
      <c r="J38" s="13" t="s">
        <v>1018</v>
      </c>
      <c r="K38" s="13" t="s">
        <v>129</v>
      </c>
      <c r="L38" s="13" t="s">
        <v>1019</v>
      </c>
      <c r="M38" s="13" t="s">
        <v>136</v>
      </c>
    </row>
    <row r="39" customFormat="false" ht="23.85" hidden="false" customHeight="false" outlineLevel="0" collapsed="false">
      <c r="A39" s="13" t="s">
        <v>78</v>
      </c>
      <c r="B39" s="13" t="s">
        <v>1118</v>
      </c>
      <c r="C39" s="13" t="s">
        <v>719</v>
      </c>
      <c r="D39" s="13" t="s">
        <v>1119</v>
      </c>
      <c r="E39" s="13" t="s">
        <v>576</v>
      </c>
      <c r="F39" s="13" t="s">
        <v>146</v>
      </c>
      <c r="G39" s="13" t="s">
        <v>1120</v>
      </c>
      <c r="H39" s="13" t="s">
        <v>132</v>
      </c>
      <c r="I39" s="13" t="s">
        <v>1121</v>
      </c>
      <c r="J39" s="13" t="s">
        <v>944</v>
      </c>
      <c r="K39" s="13" t="s">
        <v>132</v>
      </c>
      <c r="L39" s="13" t="s">
        <v>1122</v>
      </c>
      <c r="M39" s="13" t="s">
        <v>1123</v>
      </c>
    </row>
    <row r="40" customFormat="false" ht="35.05" hidden="false" customHeight="false" outlineLevel="0" collapsed="false">
      <c r="A40" s="13" t="s">
        <v>78</v>
      </c>
      <c r="B40" s="13" t="s">
        <v>1124</v>
      </c>
      <c r="C40" s="13" t="s">
        <v>719</v>
      </c>
      <c r="D40" s="13" t="s">
        <v>1125</v>
      </c>
      <c r="E40" s="13" t="s">
        <v>1016</v>
      </c>
      <c r="F40" s="13" t="s">
        <v>46</v>
      </c>
      <c r="G40" s="13" t="s">
        <v>1027</v>
      </c>
      <c r="H40" s="13" t="s">
        <v>1018</v>
      </c>
      <c r="I40" s="13" t="s">
        <v>1126</v>
      </c>
      <c r="J40" s="13" t="s">
        <v>1018</v>
      </c>
      <c r="K40" s="13" t="s">
        <v>1018</v>
      </c>
      <c r="L40" s="13" t="s">
        <v>1019</v>
      </c>
      <c r="M40" s="13"/>
    </row>
    <row r="41" customFormat="false" ht="15" hidden="false" customHeight="false" outlineLevel="0" collapsed="false">
      <c r="A41" s="13" t="s">
        <v>79</v>
      </c>
      <c r="B41" s="13" t="s">
        <v>4</v>
      </c>
      <c r="C41" s="13" t="s">
        <v>1127</v>
      </c>
      <c r="D41" s="13" t="s">
        <v>1128</v>
      </c>
      <c r="E41" s="13" t="s">
        <v>1129</v>
      </c>
      <c r="F41" s="13" t="s">
        <v>1130</v>
      </c>
      <c r="G41" s="13" t="s">
        <v>1131</v>
      </c>
      <c r="H41" s="13" t="s">
        <v>1018</v>
      </c>
      <c r="I41" s="13" t="s">
        <v>1019</v>
      </c>
      <c r="J41" s="13" t="s">
        <v>1018</v>
      </c>
      <c r="K41" s="13" t="s">
        <v>1018</v>
      </c>
      <c r="L41" s="13" t="s">
        <v>1019</v>
      </c>
      <c r="M41" s="13"/>
    </row>
    <row r="42" customFormat="false" ht="23.85" hidden="false" customHeight="false" outlineLevel="0" collapsed="false">
      <c r="A42" s="13" t="s">
        <v>79</v>
      </c>
      <c r="B42" s="13" t="s">
        <v>6</v>
      </c>
      <c r="C42" s="13" t="s">
        <v>1127</v>
      </c>
      <c r="D42" s="13" t="s">
        <v>1132</v>
      </c>
      <c r="E42" s="13" t="s">
        <v>1130</v>
      </c>
      <c r="F42" s="13" t="s">
        <v>1016</v>
      </c>
      <c r="G42" s="13" t="s">
        <v>1131</v>
      </c>
      <c r="H42" s="13" t="s">
        <v>1018</v>
      </c>
      <c r="I42" s="13" t="s">
        <v>1133</v>
      </c>
      <c r="J42" s="13" t="s">
        <v>1018</v>
      </c>
      <c r="K42" s="13" t="s">
        <v>1018</v>
      </c>
      <c r="L42" s="13" t="s">
        <v>1019</v>
      </c>
      <c r="M42" s="13"/>
    </row>
    <row r="43" customFormat="false" ht="23.85" hidden="false" customHeight="false" outlineLevel="0" collapsed="false">
      <c r="A43" s="13" t="s">
        <v>79</v>
      </c>
      <c r="B43" s="13" t="s">
        <v>8</v>
      </c>
      <c r="C43" s="13" t="s">
        <v>1127</v>
      </c>
      <c r="D43" s="13" t="s">
        <v>1134</v>
      </c>
      <c r="E43" s="13" t="s">
        <v>1129</v>
      </c>
      <c r="F43" s="13" t="s">
        <v>155</v>
      </c>
      <c r="G43" s="13" t="s">
        <v>1034</v>
      </c>
      <c r="H43" s="13" t="s">
        <v>535</v>
      </c>
      <c r="I43" s="13" t="s">
        <v>1133</v>
      </c>
      <c r="J43" s="13" t="s">
        <v>1018</v>
      </c>
      <c r="K43" s="13" t="s">
        <v>536</v>
      </c>
      <c r="L43" s="13" t="s">
        <v>1019</v>
      </c>
      <c r="M43" s="13"/>
    </row>
    <row r="44" customFormat="false" ht="23.85" hidden="false" customHeight="false" outlineLevel="0" collapsed="false">
      <c r="A44" s="13" t="s">
        <v>79</v>
      </c>
      <c r="B44" s="13" t="s">
        <v>10</v>
      </c>
      <c r="C44" s="13" t="s">
        <v>1127</v>
      </c>
      <c r="D44" s="13" t="s">
        <v>1135</v>
      </c>
      <c r="E44" s="13" t="s">
        <v>155</v>
      </c>
      <c r="F44" s="13" t="s">
        <v>155</v>
      </c>
      <c r="G44" s="13" t="s">
        <v>242</v>
      </c>
      <c r="H44" s="13" t="s">
        <v>1018</v>
      </c>
      <c r="I44" s="13" t="s">
        <v>1136</v>
      </c>
      <c r="J44" s="13" t="s">
        <v>958</v>
      </c>
      <c r="K44" s="13" t="s">
        <v>536</v>
      </c>
      <c r="L44" s="13" t="s">
        <v>1019</v>
      </c>
      <c r="M44" s="13"/>
    </row>
    <row r="45" customFormat="false" ht="23.85" hidden="false" customHeight="false" outlineLevel="0" collapsed="false">
      <c r="A45" s="13" t="s">
        <v>79</v>
      </c>
      <c r="B45" s="13" t="s">
        <v>12</v>
      </c>
      <c r="C45" s="13" t="s">
        <v>1127</v>
      </c>
      <c r="D45" s="13" t="s">
        <v>1137</v>
      </c>
      <c r="E45" s="13" t="s">
        <v>155</v>
      </c>
      <c r="F45" s="13" t="s">
        <v>156</v>
      </c>
      <c r="G45" s="13" t="s">
        <v>1034</v>
      </c>
      <c r="H45" s="13" t="s">
        <v>541</v>
      </c>
      <c r="I45" s="13" t="s">
        <v>1138</v>
      </c>
      <c r="J45" s="13" t="s">
        <v>1018</v>
      </c>
      <c r="K45" s="13" t="s">
        <v>1139</v>
      </c>
      <c r="L45" s="13" t="s">
        <v>208</v>
      </c>
      <c r="M45" s="13" t="s">
        <v>1140</v>
      </c>
    </row>
    <row r="46" customFormat="false" ht="23.85" hidden="false" customHeight="false" outlineLevel="0" collapsed="false">
      <c r="A46" s="13" t="s">
        <v>79</v>
      </c>
      <c r="B46" s="13" t="s">
        <v>1030</v>
      </c>
      <c r="C46" s="13" t="s">
        <v>1127</v>
      </c>
      <c r="D46" s="13" t="s">
        <v>1141</v>
      </c>
      <c r="E46" s="13" t="s">
        <v>156</v>
      </c>
      <c r="F46" s="13" t="s">
        <v>156</v>
      </c>
      <c r="G46" s="13" t="s">
        <v>242</v>
      </c>
      <c r="H46" s="13" t="s">
        <v>1018</v>
      </c>
      <c r="I46" s="13" t="s">
        <v>1142</v>
      </c>
      <c r="J46" s="13" t="s">
        <v>1018</v>
      </c>
      <c r="K46" s="13" t="s">
        <v>1139</v>
      </c>
      <c r="L46" s="13" t="s">
        <v>208</v>
      </c>
      <c r="M46" s="13" t="s">
        <v>1143</v>
      </c>
    </row>
    <row r="47" customFormat="false" ht="23.85" hidden="false" customHeight="false" outlineLevel="0" collapsed="false">
      <c r="A47" s="13" t="s">
        <v>79</v>
      </c>
      <c r="B47" s="13" t="s">
        <v>1032</v>
      </c>
      <c r="C47" s="13" t="s">
        <v>1127</v>
      </c>
      <c r="D47" s="13" t="s">
        <v>1144</v>
      </c>
      <c r="E47" s="13" t="s">
        <v>156</v>
      </c>
      <c r="F47" s="13" t="s">
        <v>155</v>
      </c>
      <c r="G47" s="13" t="s">
        <v>1145</v>
      </c>
      <c r="H47" s="13" t="s">
        <v>1018</v>
      </c>
      <c r="I47" s="13" t="s">
        <v>1146</v>
      </c>
      <c r="J47" s="13" t="s">
        <v>1018</v>
      </c>
      <c r="K47" s="13" t="s">
        <v>536</v>
      </c>
      <c r="L47" s="13" t="s">
        <v>208</v>
      </c>
      <c r="M47" s="13" t="s">
        <v>1147</v>
      </c>
    </row>
    <row r="48" customFormat="false" ht="23.85" hidden="false" customHeight="false" outlineLevel="0" collapsed="false">
      <c r="A48" s="13" t="s">
        <v>79</v>
      </c>
      <c r="B48" s="13" t="s">
        <v>1035</v>
      </c>
      <c r="C48" s="13" t="s">
        <v>1127</v>
      </c>
      <c r="D48" s="13" t="s">
        <v>1148</v>
      </c>
      <c r="E48" s="13" t="s">
        <v>155</v>
      </c>
      <c r="F48" s="13" t="s">
        <v>576</v>
      </c>
      <c r="G48" s="13" t="s">
        <v>61</v>
      </c>
      <c r="H48" s="13" t="s">
        <v>1149</v>
      </c>
      <c r="I48" s="13" t="s">
        <v>1150</v>
      </c>
      <c r="J48" s="13" t="s">
        <v>1018</v>
      </c>
      <c r="K48" s="13" t="s">
        <v>1149</v>
      </c>
      <c r="L48" s="13" t="s">
        <v>328</v>
      </c>
      <c r="M48" s="13" t="s">
        <v>1151</v>
      </c>
    </row>
    <row r="49" customFormat="false" ht="35.05" hidden="false" customHeight="false" outlineLevel="0" collapsed="false">
      <c r="A49" s="13" t="s">
        <v>79</v>
      </c>
      <c r="B49" s="13" t="s">
        <v>1039</v>
      </c>
      <c r="C49" s="13" t="s">
        <v>1127</v>
      </c>
      <c r="D49" s="13" t="s">
        <v>1152</v>
      </c>
      <c r="E49" s="13" t="s">
        <v>576</v>
      </c>
      <c r="F49" s="13" t="s">
        <v>576</v>
      </c>
      <c r="G49" s="13" t="s">
        <v>242</v>
      </c>
      <c r="H49" s="13" t="s">
        <v>1018</v>
      </c>
      <c r="I49" s="13" t="s">
        <v>1150</v>
      </c>
      <c r="J49" s="13" t="s">
        <v>1153</v>
      </c>
      <c r="K49" s="13" t="s">
        <v>1154</v>
      </c>
      <c r="L49" s="13" t="s">
        <v>1019</v>
      </c>
      <c r="M49" s="13" t="s">
        <v>1155</v>
      </c>
    </row>
    <row r="50" customFormat="false" ht="23.85" hidden="false" customHeight="false" outlineLevel="0" collapsed="false">
      <c r="A50" s="13" t="s">
        <v>79</v>
      </c>
      <c r="B50" s="13" t="s">
        <v>1044</v>
      </c>
      <c r="C50" s="13" t="s">
        <v>1127</v>
      </c>
      <c r="D50" s="13" t="s">
        <v>1156</v>
      </c>
      <c r="E50" s="13" t="s">
        <v>155</v>
      </c>
      <c r="F50" s="13" t="s">
        <v>1016</v>
      </c>
      <c r="G50" s="13" t="s">
        <v>1157</v>
      </c>
      <c r="H50" s="13" t="s">
        <v>1018</v>
      </c>
      <c r="I50" s="13" t="s">
        <v>1158</v>
      </c>
      <c r="J50" s="13" t="s">
        <v>1018</v>
      </c>
      <c r="K50" s="13" t="s">
        <v>1018</v>
      </c>
      <c r="L50" s="13" t="s">
        <v>1019</v>
      </c>
      <c r="M50" s="13" t="s">
        <v>151</v>
      </c>
    </row>
    <row r="51" customFormat="false" ht="15" hidden="false" customHeight="false" outlineLevel="0" collapsed="false">
      <c r="A51" s="13" t="s">
        <v>79</v>
      </c>
      <c r="B51" s="13" t="s">
        <v>1047</v>
      </c>
      <c r="C51" s="13" t="s">
        <v>1159</v>
      </c>
      <c r="D51" s="13" t="s">
        <v>1160</v>
      </c>
      <c r="E51" s="13" t="s">
        <v>1129</v>
      </c>
      <c r="F51" s="13" t="s">
        <v>156</v>
      </c>
      <c r="G51" s="13" t="s">
        <v>251</v>
      </c>
      <c r="H51" s="13" t="s">
        <v>1161</v>
      </c>
      <c r="I51" s="13" t="s">
        <v>1162</v>
      </c>
      <c r="J51" s="13" t="s">
        <v>926</v>
      </c>
      <c r="K51" s="13" t="s">
        <v>1018</v>
      </c>
      <c r="L51" s="13" t="s">
        <v>208</v>
      </c>
      <c r="M51" s="13" t="s">
        <v>1163</v>
      </c>
    </row>
    <row r="52" customFormat="false" ht="15" hidden="false" customHeight="false" outlineLevel="0" collapsed="false">
      <c r="A52" s="13" t="s">
        <v>79</v>
      </c>
      <c r="B52" s="13" t="s">
        <v>1050</v>
      </c>
      <c r="C52" s="13" t="s">
        <v>1159</v>
      </c>
      <c r="D52" s="13" t="s">
        <v>1164</v>
      </c>
      <c r="E52" s="13" t="s">
        <v>156</v>
      </c>
      <c r="F52" s="13" t="s">
        <v>156</v>
      </c>
      <c r="G52" s="13" t="s">
        <v>242</v>
      </c>
      <c r="H52" s="13" t="s">
        <v>257</v>
      </c>
      <c r="I52" s="13" t="s">
        <v>1162</v>
      </c>
      <c r="J52" s="13" t="s">
        <v>1018</v>
      </c>
      <c r="K52" s="13" t="s">
        <v>1165</v>
      </c>
      <c r="L52" s="13" t="s">
        <v>208</v>
      </c>
      <c r="M52" s="13" t="s">
        <v>1166</v>
      </c>
    </row>
    <row r="53" customFormat="false" ht="23.85" hidden="false" customHeight="false" outlineLevel="0" collapsed="false">
      <c r="A53" s="13" t="s">
        <v>79</v>
      </c>
      <c r="B53" s="13" t="s">
        <v>1167</v>
      </c>
      <c r="C53" s="13" t="s">
        <v>1168</v>
      </c>
      <c r="D53" s="13" t="s">
        <v>1169</v>
      </c>
      <c r="E53" s="13" t="s">
        <v>156</v>
      </c>
      <c r="F53" s="13" t="s">
        <v>156</v>
      </c>
      <c r="G53" s="13" t="s">
        <v>242</v>
      </c>
      <c r="H53" s="13" t="s">
        <v>1161</v>
      </c>
      <c r="I53" s="13" t="s">
        <v>1162</v>
      </c>
      <c r="J53" s="13" t="s">
        <v>929</v>
      </c>
      <c r="K53" s="13" t="s">
        <v>1165</v>
      </c>
      <c r="L53" s="13" t="s">
        <v>208</v>
      </c>
      <c r="M53" s="13" t="s">
        <v>1170</v>
      </c>
    </row>
    <row r="54" customFormat="false" ht="35.05" hidden="false" customHeight="false" outlineLevel="0" collapsed="false">
      <c r="A54" s="13" t="s">
        <v>79</v>
      </c>
      <c r="B54" s="13" t="s">
        <v>1171</v>
      </c>
      <c r="C54" s="13" t="s">
        <v>1168</v>
      </c>
      <c r="D54" s="13" t="s">
        <v>1172</v>
      </c>
      <c r="E54" s="13" t="s">
        <v>156</v>
      </c>
      <c r="F54" s="13" t="s">
        <v>276</v>
      </c>
      <c r="G54" s="13" t="s">
        <v>61</v>
      </c>
      <c r="H54" s="13" t="s">
        <v>1173</v>
      </c>
      <c r="I54" s="13" t="s">
        <v>881</v>
      </c>
      <c r="J54" s="13" t="s">
        <v>1018</v>
      </c>
      <c r="K54" s="13" t="s">
        <v>1165</v>
      </c>
      <c r="L54" s="13" t="s">
        <v>277</v>
      </c>
      <c r="M54" s="13" t="s">
        <v>1174</v>
      </c>
    </row>
    <row r="55" customFormat="false" ht="23.85" hidden="false" customHeight="false" outlineLevel="0" collapsed="false">
      <c r="A55" s="13" t="s">
        <v>79</v>
      </c>
      <c r="B55" s="13" t="s">
        <v>1054</v>
      </c>
      <c r="C55" s="13" t="s">
        <v>1168</v>
      </c>
      <c r="D55" s="13" t="s">
        <v>1175</v>
      </c>
      <c r="E55" s="13" t="s">
        <v>155</v>
      </c>
      <c r="F55" s="13" t="s">
        <v>155</v>
      </c>
      <c r="G55" s="13" t="s">
        <v>242</v>
      </c>
      <c r="H55" s="13" t="s">
        <v>1018</v>
      </c>
      <c r="I55" s="13" t="s">
        <v>1176</v>
      </c>
      <c r="J55" s="13" t="s">
        <v>958</v>
      </c>
      <c r="K55" s="13" t="s">
        <v>1177</v>
      </c>
      <c r="L55" s="13" t="s">
        <v>1019</v>
      </c>
      <c r="M55" s="13" t="s">
        <v>330</v>
      </c>
    </row>
    <row r="56" customFormat="false" ht="23.85" hidden="false" customHeight="false" outlineLevel="0" collapsed="false">
      <c r="A56" s="13" t="s">
        <v>79</v>
      </c>
      <c r="B56" s="13" t="s">
        <v>1057</v>
      </c>
      <c r="C56" s="13" t="s">
        <v>1168</v>
      </c>
      <c r="D56" s="13" t="s">
        <v>1178</v>
      </c>
      <c r="E56" s="13" t="s">
        <v>155</v>
      </c>
      <c r="F56" s="13" t="s">
        <v>1129</v>
      </c>
      <c r="G56" s="13" t="s">
        <v>1179</v>
      </c>
      <c r="H56" s="13" t="s">
        <v>1018</v>
      </c>
      <c r="I56" s="13" t="s">
        <v>1180</v>
      </c>
      <c r="J56" s="13" t="s">
        <v>1018</v>
      </c>
      <c r="K56" s="13" t="s">
        <v>1018</v>
      </c>
      <c r="L56" s="13" t="s">
        <v>1019</v>
      </c>
      <c r="M56" s="13" t="s">
        <v>330</v>
      </c>
    </row>
    <row r="57" customFormat="false" ht="35.05" hidden="false" customHeight="false" outlineLevel="0" collapsed="false">
      <c r="A57" s="13" t="s">
        <v>79</v>
      </c>
      <c r="B57" s="13" t="s">
        <v>1059</v>
      </c>
      <c r="C57" s="13" t="s">
        <v>1168</v>
      </c>
      <c r="D57" s="13" t="s">
        <v>1181</v>
      </c>
      <c r="E57" s="13" t="s">
        <v>576</v>
      </c>
      <c r="F57" s="13" t="s">
        <v>576</v>
      </c>
      <c r="G57" s="13" t="s">
        <v>242</v>
      </c>
      <c r="H57" s="13" t="s">
        <v>1018</v>
      </c>
      <c r="I57" s="13" t="s">
        <v>1182</v>
      </c>
      <c r="J57" s="13" t="s">
        <v>1153</v>
      </c>
      <c r="K57" s="13" t="s">
        <v>1154</v>
      </c>
      <c r="L57" s="13" t="s">
        <v>1019</v>
      </c>
      <c r="M57" s="13" t="s">
        <v>330</v>
      </c>
    </row>
    <row r="58" customFormat="false" ht="23.85" hidden="false" customHeight="false" outlineLevel="0" collapsed="false">
      <c r="A58" s="13" t="s">
        <v>79</v>
      </c>
      <c r="B58" s="13" t="s">
        <v>1183</v>
      </c>
      <c r="C58" s="13" t="s">
        <v>1184</v>
      </c>
      <c r="D58" s="13" t="s">
        <v>1185</v>
      </c>
      <c r="E58" s="13" t="s">
        <v>156</v>
      </c>
      <c r="F58" s="13" t="s">
        <v>156</v>
      </c>
      <c r="G58" s="13" t="s">
        <v>242</v>
      </c>
      <c r="H58" s="13" t="s">
        <v>1161</v>
      </c>
      <c r="I58" s="13" t="s">
        <v>1162</v>
      </c>
      <c r="J58" s="13" t="s">
        <v>933</v>
      </c>
      <c r="K58" s="13" t="s">
        <v>1165</v>
      </c>
      <c r="L58" s="13" t="s">
        <v>208</v>
      </c>
      <c r="M58" s="13" t="s">
        <v>266</v>
      </c>
    </row>
    <row r="59" customFormat="false" ht="35.05" hidden="false" customHeight="false" outlineLevel="0" collapsed="false">
      <c r="A59" s="13" t="s">
        <v>79</v>
      </c>
      <c r="B59" s="13" t="s">
        <v>1186</v>
      </c>
      <c r="C59" s="13" t="s">
        <v>1184</v>
      </c>
      <c r="D59" s="13" t="s">
        <v>1187</v>
      </c>
      <c r="E59" s="13" t="s">
        <v>156</v>
      </c>
      <c r="F59" s="13" t="s">
        <v>276</v>
      </c>
      <c r="G59" s="13" t="s">
        <v>61</v>
      </c>
      <c r="H59" s="13" t="s">
        <v>1173</v>
      </c>
      <c r="I59" s="13" t="s">
        <v>885</v>
      </c>
      <c r="J59" s="13" t="s">
        <v>1018</v>
      </c>
      <c r="K59" s="13" t="s">
        <v>1165</v>
      </c>
      <c r="L59" s="13" t="s">
        <v>277</v>
      </c>
      <c r="M59" s="13" t="s">
        <v>1188</v>
      </c>
    </row>
    <row r="60" customFormat="false" ht="23.85" hidden="false" customHeight="false" outlineLevel="0" collapsed="false">
      <c r="A60" s="13" t="s">
        <v>79</v>
      </c>
      <c r="B60" s="13" t="s">
        <v>1068</v>
      </c>
      <c r="C60" s="13" t="s">
        <v>1184</v>
      </c>
      <c r="D60" s="13" t="s">
        <v>1189</v>
      </c>
      <c r="E60" s="13" t="s">
        <v>155</v>
      </c>
      <c r="F60" s="13" t="s">
        <v>155</v>
      </c>
      <c r="G60" s="13" t="s">
        <v>242</v>
      </c>
      <c r="H60" s="13" t="s">
        <v>1018</v>
      </c>
      <c r="I60" s="13" t="s">
        <v>1190</v>
      </c>
      <c r="J60" s="13" t="s">
        <v>958</v>
      </c>
      <c r="K60" s="13" t="s">
        <v>1177</v>
      </c>
      <c r="L60" s="13" t="s">
        <v>1019</v>
      </c>
      <c r="M60" s="13" t="s">
        <v>335</v>
      </c>
    </row>
    <row r="61" customFormat="false" ht="23.85" hidden="false" customHeight="false" outlineLevel="0" collapsed="false">
      <c r="A61" s="13" t="s">
        <v>79</v>
      </c>
      <c r="B61" s="13" t="s">
        <v>1070</v>
      </c>
      <c r="C61" s="13" t="s">
        <v>1184</v>
      </c>
      <c r="D61" s="13" t="s">
        <v>1191</v>
      </c>
      <c r="E61" s="13" t="s">
        <v>155</v>
      </c>
      <c r="F61" s="13" t="s">
        <v>1129</v>
      </c>
      <c r="G61" s="13" t="s">
        <v>1179</v>
      </c>
      <c r="H61" s="13" t="s">
        <v>1018</v>
      </c>
      <c r="I61" s="13" t="s">
        <v>1192</v>
      </c>
      <c r="J61" s="13" t="s">
        <v>1018</v>
      </c>
      <c r="K61" s="13" t="s">
        <v>1018</v>
      </c>
      <c r="L61" s="13" t="s">
        <v>1019</v>
      </c>
      <c r="M61" s="13" t="s">
        <v>335</v>
      </c>
    </row>
    <row r="62" customFormat="false" ht="35.05" hidden="false" customHeight="false" outlineLevel="0" collapsed="false">
      <c r="A62" s="13" t="s">
        <v>79</v>
      </c>
      <c r="B62" s="13" t="s">
        <v>1072</v>
      </c>
      <c r="C62" s="13" t="s">
        <v>1184</v>
      </c>
      <c r="D62" s="13" t="s">
        <v>1193</v>
      </c>
      <c r="E62" s="13" t="s">
        <v>576</v>
      </c>
      <c r="F62" s="13" t="s">
        <v>576</v>
      </c>
      <c r="G62" s="13" t="s">
        <v>242</v>
      </c>
      <c r="H62" s="13" t="s">
        <v>1018</v>
      </c>
      <c r="I62" s="13" t="s">
        <v>1194</v>
      </c>
      <c r="J62" s="13" t="s">
        <v>1153</v>
      </c>
      <c r="K62" s="13" t="s">
        <v>1154</v>
      </c>
      <c r="L62" s="13" t="s">
        <v>1019</v>
      </c>
      <c r="M62" s="13" t="s">
        <v>335</v>
      </c>
    </row>
    <row r="63" customFormat="false" ht="15" hidden="false" customHeight="false" outlineLevel="0" collapsed="false">
      <c r="A63" s="13" t="s">
        <v>80</v>
      </c>
      <c r="B63" s="13" t="s">
        <v>4</v>
      </c>
      <c r="C63" s="13" t="s">
        <v>1195</v>
      </c>
      <c r="D63" s="13" t="s">
        <v>1196</v>
      </c>
      <c r="E63" s="13" t="s">
        <v>97</v>
      </c>
      <c r="F63" s="13" t="s">
        <v>1016</v>
      </c>
      <c r="G63" s="13" t="s">
        <v>1017</v>
      </c>
      <c r="H63" s="13" t="s">
        <v>1018</v>
      </c>
      <c r="I63" s="13" t="s">
        <v>1018</v>
      </c>
      <c r="J63" s="13" t="s">
        <v>1018</v>
      </c>
      <c r="K63" s="13" t="s">
        <v>1018</v>
      </c>
      <c r="L63" s="13" t="s">
        <v>1019</v>
      </c>
      <c r="M63" s="13"/>
    </row>
    <row r="64" customFormat="false" ht="23.85" hidden="false" customHeight="false" outlineLevel="0" collapsed="false">
      <c r="A64" s="13" t="s">
        <v>80</v>
      </c>
      <c r="B64" s="13" t="s">
        <v>6</v>
      </c>
      <c r="C64" s="13" t="s">
        <v>1195</v>
      </c>
      <c r="D64" s="13" t="s">
        <v>1197</v>
      </c>
      <c r="E64" s="13" t="s">
        <v>1016</v>
      </c>
      <c r="F64" s="13" t="s">
        <v>1016</v>
      </c>
      <c r="G64" s="13" t="s">
        <v>1198</v>
      </c>
      <c r="H64" s="13" t="s">
        <v>1018</v>
      </c>
      <c r="I64" s="13" t="s">
        <v>1199</v>
      </c>
      <c r="J64" s="13" t="s">
        <v>1018</v>
      </c>
      <c r="K64" s="13" t="s">
        <v>1018</v>
      </c>
      <c r="L64" s="13" t="s">
        <v>1019</v>
      </c>
      <c r="M64" s="13" t="s">
        <v>167</v>
      </c>
    </row>
    <row r="65" customFormat="false" ht="23.85" hidden="false" customHeight="false" outlineLevel="0" collapsed="false">
      <c r="A65" s="13" t="s">
        <v>80</v>
      </c>
      <c r="B65" s="13" t="s">
        <v>8</v>
      </c>
      <c r="C65" s="13" t="s">
        <v>1195</v>
      </c>
      <c r="D65" s="13" t="s">
        <v>1200</v>
      </c>
      <c r="E65" s="13" t="s">
        <v>1016</v>
      </c>
      <c r="F65" s="13" t="s">
        <v>155</v>
      </c>
      <c r="G65" s="13" t="s">
        <v>1034</v>
      </c>
      <c r="H65" s="13" t="s">
        <v>563</v>
      </c>
      <c r="I65" s="13" t="s">
        <v>1201</v>
      </c>
      <c r="J65" s="13" t="s">
        <v>1018</v>
      </c>
      <c r="K65" s="13" t="s">
        <v>536</v>
      </c>
      <c r="L65" s="13" t="s">
        <v>1019</v>
      </c>
      <c r="M65" s="13" t="s">
        <v>167</v>
      </c>
    </row>
    <row r="66" customFormat="false" ht="23.85" hidden="false" customHeight="false" outlineLevel="0" collapsed="false">
      <c r="A66" s="13" t="s">
        <v>80</v>
      </c>
      <c r="B66" s="13" t="s">
        <v>10</v>
      </c>
      <c r="C66" s="13" t="s">
        <v>1195</v>
      </c>
      <c r="D66" s="13" t="s">
        <v>1202</v>
      </c>
      <c r="E66" s="13" t="s">
        <v>155</v>
      </c>
      <c r="F66" s="13" t="s">
        <v>155</v>
      </c>
      <c r="G66" s="13" t="s">
        <v>242</v>
      </c>
      <c r="H66" s="13" t="s">
        <v>1018</v>
      </c>
      <c r="I66" s="13" t="s">
        <v>1201</v>
      </c>
      <c r="J66" s="13" t="s">
        <v>1018</v>
      </c>
      <c r="K66" s="13" t="s">
        <v>536</v>
      </c>
      <c r="L66" s="13" t="s">
        <v>1019</v>
      </c>
      <c r="M66" s="13" t="s">
        <v>167</v>
      </c>
    </row>
    <row r="67" customFormat="false" ht="15" hidden="false" customHeight="false" outlineLevel="0" collapsed="false">
      <c r="A67" s="13" t="s">
        <v>80</v>
      </c>
      <c r="B67" s="13" t="s">
        <v>12</v>
      </c>
      <c r="C67" s="13" t="s">
        <v>1195</v>
      </c>
      <c r="D67" s="13" t="s">
        <v>1203</v>
      </c>
      <c r="E67" s="13" t="s">
        <v>155</v>
      </c>
      <c r="F67" s="13" t="s">
        <v>155</v>
      </c>
      <c r="G67" s="13" t="s">
        <v>242</v>
      </c>
      <c r="H67" s="13" t="s">
        <v>1018</v>
      </c>
      <c r="I67" s="13" t="s">
        <v>1204</v>
      </c>
      <c r="J67" s="13" t="s">
        <v>1018</v>
      </c>
      <c r="K67" s="13" t="s">
        <v>536</v>
      </c>
      <c r="L67" s="13" t="s">
        <v>1019</v>
      </c>
      <c r="M67" s="13" t="s">
        <v>167</v>
      </c>
    </row>
    <row r="68" customFormat="false" ht="23.85" hidden="false" customHeight="false" outlineLevel="0" collapsed="false">
      <c r="A68" s="13" t="s">
        <v>80</v>
      </c>
      <c r="B68" s="13" t="s">
        <v>1030</v>
      </c>
      <c r="C68" s="13" t="s">
        <v>1195</v>
      </c>
      <c r="D68" s="13" t="s">
        <v>1205</v>
      </c>
      <c r="E68" s="13" t="s">
        <v>155</v>
      </c>
      <c r="F68" s="13" t="s">
        <v>576</v>
      </c>
      <c r="G68" s="13" t="s">
        <v>1034</v>
      </c>
      <c r="H68" s="13" t="s">
        <v>563</v>
      </c>
      <c r="I68" s="13" t="s">
        <v>1206</v>
      </c>
      <c r="J68" s="13" t="s">
        <v>1018</v>
      </c>
      <c r="K68" s="13" t="s">
        <v>1207</v>
      </c>
      <c r="L68" s="13" t="s">
        <v>132</v>
      </c>
      <c r="M68" s="13" t="s">
        <v>160</v>
      </c>
    </row>
    <row r="69" customFormat="false" ht="23.85" hidden="false" customHeight="false" outlineLevel="0" collapsed="false">
      <c r="A69" s="13" t="s">
        <v>80</v>
      </c>
      <c r="B69" s="13" t="s">
        <v>1032</v>
      </c>
      <c r="C69" s="13" t="s">
        <v>1195</v>
      </c>
      <c r="D69" s="13" t="s">
        <v>1208</v>
      </c>
      <c r="E69" s="13" t="s">
        <v>576</v>
      </c>
      <c r="F69" s="13" t="s">
        <v>576</v>
      </c>
      <c r="G69" s="13" t="s">
        <v>242</v>
      </c>
      <c r="H69" s="13" t="s">
        <v>1018</v>
      </c>
      <c r="I69" s="13" t="s">
        <v>1209</v>
      </c>
      <c r="J69" s="13" t="s">
        <v>1153</v>
      </c>
      <c r="K69" s="13" t="s">
        <v>1207</v>
      </c>
      <c r="L69" s="13" t="s">
        <v>1019</v>
      </c>
      <c r="M69" s="13" t="s">
        <v>1210</v>
      </c>
    </row>
    <row r="70" customFormat="false" ht="15" hidden="false" customHeight="false" outlineLevel="0" collapsed="false">
      <c r="A70" s="13" t="s">
        <v>80</v>
      </c>
      <c r="B70" s="13" t="s">
        <v>1035</v>
      </c>
      <c r="C70" s="13" t="s">
        <v>1195</v>
      </c>
      <c r="D70" s="13" t="s">
        <v>1211</v>
      </c>
      <c r="E70" s="13" t="s">
        <v>576</v>
      </c>
      <c r="F70" s="13" t="s">
        <v>155</v>
      </c>
      <c r="G70" s="13" t="s">
        <v>1212</v>
      </c>
      <c r="H70" s="13" t="s">
        <v>1213</v>
      </c>
      <c r="I70" s="13" t="s">
        <v>1214</v>
      </c>
      <c r="J70" s="13" t="s">
        <v>1018</v>
      </c>
      <c r="K70" s="13" t="s">
        <v>536</v>
      </c>
      <c r="L70" s="13" t="s">
        <v>132</v>
      </c>
      <c r="M70" s="13" t="s">
        <v>160</v>
      </c>
    </row>
    <row r="71" customFormat="false" ht="23.85" hidden="false" customHeight="false" outlineLevel="0" collapsed="false">
      <c r="A71" s="13" t="s">
        <v>80</v>
      </c>
      <c r="B71" s="13" t="s">
        <v>1039</v>
      </c>
      <c r="C71" s="13" t="s">
        <v>1195</v>
      </c>
      <c r="D71" s="13" t="s">
        <v>1215</v>
      </c>
      <c r="E71" s="13" t="s">
        <v>155</v>
      </c>
      <c r="F71" s="13" t="s">
        <v>1016</v>
      </c>
      <c r="G71" s="13" t="s">
        <v>1212</v>
      </c>
      <c r="H71" s="13" t="s">
        <v>1157</v>
      </c>
      <c r="I71" s="13" t="s">
        <v>1214</v>
      </c>
      <c r="J71" s="13" t="s">
        <v>1018</v>
      </c>
      <c r="K71" s="13" t="s">
        <v>1016</v>
      </c>
      <c r="L71" s="13" t="s">
        <v>1019</v>
      </c>
      <c r="M71" s="13" t="s">
        <v>160</v>
      </c>
    </row>
    <row r="72" customFormat="false" ht="15" hidden="false" customHeight="false" outlineLevel="0" collapsed="false">
      <c r="A72" s="13" t="s">
        <v>80</v>
      </c>
      <c r="B72" s="13" t="s">
        <v>1044</v>
      </c>
      <c r="C72" s="13" t="s">
        <v>1195</v>
      </c>
      <c r="D72" s="13" t="s">
        <v>1216</v>
      </c>
      <c r="E72" s="13" t="s">
        <v>1016</v>
      </c>
      <c r="F72" s="13" t="s">
        <v>97</v>
      </c>
      <c r="G72" s="13" t="s">
        <v>1217</v>
      </c>
      <c r="H72" s="13" t="s">
        <v>1218</v>
      </c>
      <c r="I72" s="13" t="s">
        <v>1214</v>
      </c>
      <c r="J72" s="13" t="s">
        <v>1018</v>
      </c>
      <c r="K72" s="13" t="s">
        <v>1018</v>
      </c>
      <c r="L72" s="13" t="s">
        <v>1019</v>
      </c>
      <c r="M72" s="13"/>
    </row>
    <row r="73" customFormat="false" ht="23.85" hidden="false" customHeight="false" outlineLevel="0" collapsed="false">
      <c r="A73" s="13" t="s">
        <v>80</v>
      </c>
      <c r="B73" s="13" t="s">
        <v>1047</v>
      </c>
      <c r="C73" s="13" t="s">
        <v>1219</v>
      </c>
      <c r="D73" s="13" t="s">
        <v>1220</v>
      </c>
      <c r="E73" s="13" t="s">
        <v>576</v>
      </c>
      <c r="F73" s="13" t="s">
        <v>67</v>
      </c>
      <c r="G73" s="13" t="s">
        <v>1034</v>
      </c>
      <c r="H73" s="13" t="s">
        <v>1221</v>
      </c>
      <c r="I73" s="13" t="s">
        <v>1222</v>
      </c>
      <c r="J73" s="13" t="s">
        <v>1018</v>
      </c>
      <c r="K73" s="13" t="s">
        <v>577</v>
      </c>
      <c r="L73" s="13" t="s">
        <v>173</v>
      </c>
      <c r="M73" s="13" t="s">
        <v>1223</v>
      </c>
    </row>
    <row r="74" customFormat="false" ht="23.85" hidden="false" customHeight="false" outlineLevel="0" collapsed="false">
      <c r="A74" s="13" t="s">
        <v>80</v>
      </c>
      <c r="B74" s="13" t="s">
        <v>1050</v>
      </c>
      <c r="C74" s="13" t="s">
        <v>1219</v>
      </c>
      <c r="D74" s="13" t="s">
        <v>1224</v>
      </c>
      <c r="E74" s="13" t="s">
        <v>67</v>
      </c>
      <c r="F74" s="13" t="s">
        <v>67</v>
      </c>
      <c r="G74" s="13" t="s">
        <v>242</v>
      </c>
      <c r="H74" s="13" t="s">
        <v>1225</v>
      </c>
      <c r="I74" s="13" t="s">
        <v>1222</v>
      </c>
      <c r="J74" s="13" t="s">
        <v>291</v>
      </c>
      <c r="K74" s="13" t="s">
        <v>577</v>
      </c>
      <c r="L74" s="13" t="s">
        <v>1019</v>
      </c>
      <c r="M74" s="13" t="s">
        <v>176</v>
      </c>
    </row>
    <row r="75" customFormat="false" ht="23.85" hidden="false" customHeight="false" outlineLevel="0" collapsed="false">
      <c r="A75" s="13" t="s">
        <v>80</v>
      </c>
      <c r="B75" s="13" t="s">
        <v>1167</v>
      </c>
      <c r="C75" s="13" t="s">
        <v>1219</v>
      </c>
      <c r="D75" s="13" t="s">
        <v>1226</v>
      </c>
      <c r="E75" s="13" t="s">
        <v>67</v>
      </c>
      <c r="F75" s="13" t="s">
        <v>576</v>
      </c>
      <c r="G75" s="13" t="s">
        <v>1212</v>
      </c>
      <c r="H75" s="13" t="s">
        <v>1225</v>
      </c>
      <c r="I75" s="13" t="s">
        <v>1227</v>
      </c>
      <c r="J75" s="13" t="s">
        <v>1018</v>
      </c>
      <c r="K75" s="13" t="s">
        <v>1228</v>
      </c>
      <c r="L75" s="13" t="s">
        <v>173</v>
      </c>
      <c r="M75" s="13" t="s">
        <v>1229</v>
      </c>
    </row>
    <row r="76" customFormat="false" ht="23.85" hidden="false" customHeight="false" outlineLevel="0" collapsed="false">
      <c r="A76" s="13" t="s">
        <v>80</v>
      </c>
      <c r="B76" s="13" t="s">
        <v>1171</v>
      </c>
      <c r="C76" s="13" t="s">
        <v>1219</v>
      </c>
      <c r="D76" s="13" t="s">
        <v>1230</v>
      </c>
      <c r="E76" s="13" t="s">
        <v>576</v>
      </c>
      <c r="F76" s="13" t="s">
        <v>576</v>
      </c>
      <c r="G76" s="13" t="s">
        <v>242</v>
      </c>
      <c r="H76" s="13" t="s">
        <v>1018</v>
      </c>
      <c r="I76" s="13" t="s">
        <v>1231</v>
      </c>
      <c r="J76" s="13" t="s">
        <v>952</v>
      </c>
      <c r="K76" s="13" t="s">
        <v>1228</v>
      </c>
      <c r="L76" s="13" t="s">
        <v>1019</v>
      </c>
      <c r="M76" s="13" t="s">
        <v>176</v>
      </c>
    </row>
    <row r="77" customFormat="false" ht="35.05" hidden="false" customHeight="false" outlineLevel="0" collapsed="false">
      <c r="A77" s="13" t="s">
        <v>80</v>
      </c>
      <c r="B77" s="13" t="s">
        <v>1054</v>
      </c>
      <c r="C77" s="13" t="s">
        <v>1219</v>
      </c>
      <c r="D77" s="13" t="s">
        <v>1232</v>
      </c>
      <c r="E77" s="13" t="s">
        <v>576</v>
      </c>
      <c r="F77" s="13" t="s">
        <v>67</v>
      </c>
      <c r="G77" s="13" t="s">
        <v>1034</v>
      </c>
      <c r="H77" s="13" t="s">
        <v>1233</v>
      </c>
      <c r="I77" s="13" t="s">
        <v>1234</v>
      </c>
      <c r="J77" s="13" t="s">
        <v>1018</v>
      </c>
      <c r="K77" s="13" t="s">
        <v>586</v>
      </c>
      <c r="L77" s="13" t="s">
        <v>173</v>
      </c>
      <c r="M77" s="13" t="s">
        <v>182</v>
      </c>
    </row>
    <row r="78" customFormat="false" ht="23.85" hidden="false" customHeight="false" outlineLevel="0" collapsed="false">
      <c r="A78" s="13" t="s">
        <v>80</v>
      </c>
      <c r="B78" s="13" t="s">
        <v>1057</v>
      </c>
      <c r="C78" s="13" t="s">
        <v>1219</v>
      </c>
      <c r="D78" s="13" t="s">
        <v>1235</v>
      </c>
      <c r="E78" s="13" t="s">
        <v>67</v>
      </c>
      <c r="F78" s="13" t="s">
        <v>67</v>
      </c>
      <c r="G78" s="13" t="s">
        <v>242</v>
      </c>
      <c r="H78" s="13" t="s">
        <v>1018</v>
      </c>
      <c r="I78" s="13" t="s">
        <v>1234</v>
      </c>
      <c r="J78" s="13" t="s">
        <v>1018</v>
      </c>
      <c r="K78" s="13" t="s">
        <v>586</v>
      </c>
      <c r="L78" s="13" t="s">
        <v>1019</v>
      </c>
      <c r="M78" s="13" t="s">
        <v>1236</v>
      </c>
    </row>
    <row r="79" customFormat="false" ht="23.85" hidden="false" customHeight="false" outlineLevel="0" collapsed="false">
      <c r="A79" s="13" t="s">
        <v>80</v>
      </c>
      <c r="B79" s="13" t="s">
        <v>1059</v>
      </c>
      <c r="C79" s="13" t="s">
        <v>1219</v>
      </c>
      <c r="D79" s="13" t="s">
        <v>1237</v>
      </c>
      <c r="E79" s="13" t="s">
        <v>67</v>
      </c>
      <c r="F79" s="13" t="s">
        <v>576</v>
      </c>
      <c r="G79" s="13" t="s">
        <v>1212</v>
      </c>
      <c r="H79" s="13" t="s">
        <v>1238</v>
      </c>
      <c r="I79" s="13" t="s">
        <v>1158</v>
      </c>
      <c r="J79" s="13" t="s">
        <v>1018</v>
      </c>
      <c r="K79" s="13" t="s">
        <v>1228</v>
      </c>
      <c r="L79" s="13" t="s">
        <v>173</v>
      </c>
      <c r="M79" s="13" t="s">
        <v>182</v>
      </c>
    </row>
    <row r="80" customFormat="false" ht="35.05" hidden="false" customHeight="false" outlineLevel="0" collapsed="false">
      <c r="A80" s="13" t="s">
        <v>80</v>
      </c>
      <c r="B80" s="13" t="s">
        <v>1183</v>
      </c>
      <c r="C80" s="13" t="s">
        <v>1219</v>
      </c>
      <c r="D80" s="13" t="s">
        <v>1239</v>
      </c>
      <c r="E80" s="13" t="s">
        <v>576</v>
      </c>
      <c r="F80" s="13" t="s">
        <v>156</v>
      </c>
      <c r="G80" s="13" t="s">
        <v>1240</v>
      </c>
      <c r="H80" s="13" t="s">
        <v>281</v>
      </c>
      <c r="I80" s="13" t="s">
        <v>1241</v>
      </c>
      <c r="J80" s="13" t="s">
        <v>1018</v>
      </c>
      <c r="K80" s="13" t="s">
        <v>208</v>
      </c>
      <c r="L80" s="13" t="s">
        <v>148</v>
      </c>
      <c r="M80" s="13" t="s">
        <v>1242</v>
      </c>
    </row>
    <row r="81" customFormat="false" ht="23.85" hidden="false" customHeight="false" outlineLevel="0" collapsed="false">
      <c r="A81" s="13" t="s">
        <v>80</v>
      </c>
      <c r="B81" s="13" t="s">
        <v>1186</v>
      </c>
      <c r="C81" s="13" t="s">
        <v>1219</v>
      </c>
      <c r="D81" s="13" t="s">
        <v>1243</v>
      </c>
      <c r="E81" s="13" t="s">
        <v>156</v>
      </c>
      <c r="F81" s="13" t="s">
        <v>67</v>
      </c>
      <c r="G81" s="13" t="s">
        <v>251</v>
      </c>
      <c r="H81" s="13" t="s">
        <v>1161</v>
      </c>
      <c r="I81" s="13" t="s">
        <v>1162</v>
      </c>
      <c r="J81" s="13" t="s">
        <v>1018</v>
      </c>
      <c r="K81" s="13" t="s">
        <v>1161</v>
      </c>
      <c r="L81" s="13" t="s">
        <v>208</v>
      </c>
      <c r="M81" s="13" t="s">
        <v>1244</v>
      </c>
    </row>
    <row r="82" customFormat="false" ht="23.85" hidden="false" customHeight="false" outlineLevel="0" collapsed="false">
      <c r="A82" s="13" t="s">
        <v>80</v>
      </c>
      <c r="B82" s="13" t="s">
        <v>1068</v>
      </c>
      <c r="C82" s="13" t="s">
        <v>1219</v>
      </c>
      <c r="D82" s="13" t="s">
        <v>1245</v>
      </c>
      <c r="E82" s="13" t="s">
        <v>67</v>
      </c>
      <c r="F82" s="13" t="s">
        <v>67</v>
      </c>
      <c r="G82" s="13" t="s">
        <v>251</v>
      </c>
      <c r="H82" s="13" t="s">
        <v>1161</v>
      </c>
      <c r="I82" s="13" t="s">
        <v>1162</v>
      </c>
      <c r="J82" s="13" t="s">
        <v>937</v>
      </c>
      <c r="K82" s="13" t="s">
        <v>1246</v>
      </c>
      <c r="L82" s="13" t="s">
        <v>1019</v>
      </c>
      <c r="M82" s="13" t="s">
        <v>287</v>
      </c>
    </row>
    <row r="83" customFormat="false" ht="35.05" hidden="false" customHeight="false" outlineLevel="0" collapsed="false">
      <c r="A83" s="13" t="s">
        <v>80</v>
      </c>
      <c r="B83" s="13" t="s">
        <v>1070</v>
      </c>
      <c r="C83" s="13" t="s">
        <v>1219</v>
      </c>
      <c r="D83" s="13" t="s">
        <v>1247</v>
      </c>
      <c r="E83" s="13" t="s">
        <v>156</v>
      </c>
      <c r="F83" s="13" t="s">
        <v>576</v>
      </c>
      <c r="G83" s="13" t="s">
        <v>61</v>
      </c>
      <c r="H83" s="13" t="s">
        <v>1248</v>
      </c>
      <c r="I83" s="13" t="s">
        <v>1184</v>
      </c>
      <c r="J83" s="13" t="s">
        <v>1018</v>
      </c>
      <c r="K83" s="13" t="s">
        <v>208</v>
      </c>
      <c r="L83" s="13" t="s">
        <v>277</v>
      </c>
      <c r="M83" s="13" t="s">
        <v>1249</v>
      </c>
    </row>
    <row r="84" customFormat="false" ht="35.05" hidden="false" customHeight="false" outlineLevel="0" collapsed="false">
      <c r="A84" s="13" t="s">
        <v>80</v>
      </c>
      <c r="B84" s="13" t="s">
        <v>1072</v>
      </c>
      <c r="C84" s="13" t="s">
        <v>1219</v>
      </c>
      <c r="D84" s="13" t="s">
        <v>1250</v>
      </c>
      <c r="E84" s="13" t="s">
        <v>576</v>
      </c>
      <c r="F84" s="13" t="s">
        <v>576</v>
      </c>
      <c r="G84" s="13" t="s">
        <v>242</v>
      </c>
      <c r="H84" s="13" t="s">
        <v>1018</v>
      </c>
      <c r="I84" s="13" t="s">
        <v>1251</v>
      </c>
      <c r="J84" s="13" t="s">
        <v>1252</v>
      </c>
      <c r="K84" s="13" t="s">
        <v>1207</v>
      </c>
      <c r="L84" s="13" t="s">
        <v>1019</v>
      </c>
      <c r="M84" s="13" t="s">
        <v>1253</v>
      </c>
    </row>
    <row r="85" customFormat="false" ht="23.85" hidden="false" customHeight="false" outlineLevel="0" collapsed="false">
      <c r="A85" s="13" t="s">
        <v>80</v>
      </c>
      <c r="B85" s="13" t="s">
        <v>1254</v>
      </c>
      <c r="C85" s="13" t="s">
        <v>1219</v>
      </c>
      <c r="D85" s="13" t="s">
        <v>1255</v>
      </c>
      <c r="E85" s="13" t="s">
        <v>67</v>
      </c>
      <c r="F85" s="13" t="s">
        <v>576</v>
      </c>
      <c r="G85" s="13" t="s">
        <v>61</v>
      </c>
      <c r="H85" s="13" t="s">
        <v>1248</v>
      </c>
      <c r="I85" s="13" t="s">
        <v>896</v>
      </c>
      <c r="J85" s="13" t="s">
        <v>1018</v>
      </c>
      <c r="K85" s="13" t="s">
        <v>1207</v>
      </c>
      <c r="L85" s="13" t="s">
        <v>277</v>
      </c>
      <c r="M85" s="13" t="s">
        <v>1256</v>
      </c>
    </row>
    <row r="86" customFormat="false" ht="23.85" hidden="false" customHeight="false" outlineLevel="0" collapsed="false">
      <c r="A86" s="13" t="s">
        <v>80</v>
      </c>
      <c r="B86" s="13" t="s">
        <v>1257</v>
      </c>
      <c r="C86" s="13" t="s">
        <v>1219</v>
      </c>
      <c r="D86" s="13" t="s">
        <v>1258</v>
      </c>
      <c r="E86" s="13" t="s">
        <v>576</v>
      </c>
      <c r="F86" s="13" t="s">
        <v>576</v>
      </c>
      <c r="G86" s="13" t="s">
        <v>242</v>
      </c>
      <c r="H86" s="13" t="s">
        <v>1018</v>
      </c>
      <c r="I86" s="13" t="s">
        <v>1259</v>
      </c>
      <c r="J86" s="13" t="s">
        <v>1252</v>
      </c>
      <c r="K86" s="13" t="s">
        <v>1207</v>
      </c>
      <c r="L86" s="13" t="s">
        <v>1019</v>
      </c>
      <c r="M86" s="13" t="s">
        <v>351</v>
      </c>
    </row>
    <row r="87" customFormat="false" ht="23.85" hidden="false" customHeight="false" outlineLevel="0" collapsed="false">
      <c r="A87" s="13" t="s">
        <v>80</v>
      </c>
      <c r="B87" s="13" t="s">
        <v>1074</v>
      </c>
      <c r="C87" s="13" t="s">
        <v>1219</v>
      </c>
      <c r="D87" s="13" t="s">
        <v>1260</v>
      </c>
      <c r="E87" s="13" t="s">
        <v>67</v>
      </c>
      <c r="F87" s="13" t="s">
        <v>67</v>
      </c>
      <c r="G87" s="13" t="s">
        <v>242</v>
      </c>
      <c r="H87" s="13" t="s">
        <v>1018</v>
      </c>
      <c r="I87" s="13" t="s">
        <v>1261</v>
      </c>
      <c r="J87" s="13" t="s">
        <v>1018</v>
      </c>
      <c r="K87" s="13" t="s">
        <v>67</v>
      </c>
      <c r="L87" s="13" t="s">
        <v>1019</v>
      </c>
      <c r="M87" s="13" t="s">
        <v>351</v>
      </c>
    </row>
    <row r="88" customFormat="false" ht="23.85" hidden="false" customHeight="false" outlineLevel="0" collapsed="false">
      <c r="A88" s="13" t="s">
        <v>80</v>
      </c>
      <c r="B88" s="13" t="s">
        <v>1078</v>
      </c>
      <c r="C88" s="13" t="s">
        <v>1219</v>
      </c>
      <c r="D88" s="13" t="s">
        <v>1262</v>
      </c>
      <c r="E88" s="13" t="s">
        <v>67</v>
      </c>
      <c r="F88" s="13" t="s">
        <v>67</v>
      </c>
      <c r="G88" s="13" t="s">
        <v>242</v>
      </c>
      <c r="H88" s="13" t="s">
        <v>1018</v>
      </c>
      <c r="I88" s="13" t="s">
        <v>1263</v>
      </c>
      <c r="J88" s="13" t="s">
        <v>941</v>
      </c>
      <c r="K88" s="13" t="s">
        <v>67</v>
      </c>
      <c r="L88" s="13" t="s">
        <v>1019</v>
      </c>
      <c r="M88" s="13" t="s">
        <v>351</v>
      </c>
    </row>
    <row r="89" customFormat="false" ht="35.05" hidden="false" customHeight="false" outlineLevel="0" collapsed="false">
      <c r="A89" s="13" t="s">
        <v>80</v>
      </c>
      <c r="B89" s="13" t="s">
        <v>1264</v>
      </c>
      <c r="C89" s="13" t="s">
        <v>1265</v>
      </c>
      <c r="D89" s="13" t="s">
        <v>1266</v>
      </c>
      <c r="E89" s="13" t="s">
        <v>576</v>
      </c>
      <c r="F89" s="13" t="s">
        <v>156</v>
      </c>
      <c r="G89" s="13" t="s">
        <v>1240</v>
      </c>
      <c r="H89" s="13" t="s">
        <v>281</v>
      </c>
      <c r="I89" s="13" t="s">
        <v>1267</v>
      </c>
      <c r="J89" s="13" t="s">
        <v>1018</v>
      </c>
      <c r="K89" s="13" t="s">
        <v>208</v>
      </c>
      <c r="L89" s="13" t="s">
        <v>148</v>
      </c>
      <c r="M89" s="13" t="s">
        <v>1268</v>
      </c>
    </row>
    <row r="90" customFormat="false" ht="35.05" hidden="false" customHeight="false" outlineLevel="0" collapsed="false">
      <c r="A90" s="13" t="s">
        <v>80</v>
      </c>
      <c r="B90" s="13" t="s">
        <v>1269</v>
      </c>
      <c r="C90" s="13" t="s">
        <v>1265</v>
      </c>
      <c r="D90" s="13" t="s">
        <v>1270</v>
      </c>
      <c r="E90" s="13" t="s">
        <v>156</v>
      </c>
      <c r="F90" s="13" t="s">
        <v>146</v>
      </c>
      <c r="G90" s="13" t="s">
        <v>1034</v>
      </c>
      <c r="H90" s="13" t="s">
        <v>205</v>
      </c>
      <c r="I90" s="13" t="s">
        <v>1271</v>
      </c>
      <c r="J90" s="13" t="s">
        <v>1018</v>
      </c>
      <c r="K90" s="13" t="s">
        <v>1272</v>
      </c>
      <c r="L90" s="13" t="s">
        <v>208</v>
      </c>
      <c r="M90" s="13" t="s">
        <v>1273</v>
      </c>
    </row>
    <row r="91" customFormat="false" ht="23.85" hidden="false" customHeight="false" outlineLevel="0" collapsed="false">
      <c r="A91" s="13" t="s">
        <v>80</v>
      </c>
      <c r="B91" s="13" t="s">
        <v>1082</v>
      </c>
      <c r="C91" s="13" t="s">
        <v>1265</v>
      </c>
      <c r="D91" s="13" t="s">
        <v>1274</v>
      </c>
      <c r="E91" s="13" t="s">
        <v>146</v>
      </c>
      <c r="F91" s="13" t="s">
        <v>146</v>
      </c>
      <c r="G91" s="13" t="s">
        <v>242</v>
      </c>
      <c r="H91" s="13" t="s">
        <v>1018</v>
      </c>
      <c r="I91" s="13" t="s">
        <v>1271</v>
      </c>
      <c r="J91" s="13" t="s">
        <v>944</v>
      </c>
      <c r="K91" s="13" t="s">
        <v>1272</v>
      </c>
      <c r="L91" s="13" t="s">
        <v>1019</v>
      </c>
      <c r="M91" s="13" t="s">
        <v>204</v>
      </c>
    </row>
    <row r="92" customFormat="false" ht="23.85" hidden="false" customHeight="false" outlineLevel="0" collapsed="false">
      <c r="A92" s="13" t="s">
        <v>80</v>
      </c>
      <c r="B92" s="13" t="s">
        <v>1084</v>
      </c>
      <c r="C92" s="13" t="s">
        <v>1265</v>
      </c>
      <c r="D92" s="13" t="s">
        <v>1275</v>
      </c>
      <c r="E92" s="13" t="s">
        <v>146</v>
      </c>
      <c r="F92" s="13" t="s">
        <v>156</v>
      </c>
      <c r="G92" s="13" t="s">
        <v>1212</v>
      </c>
      <c r="H92" s="13" t="s">
        <v>1276</v>
      </c>
      <c r="I92" s="13" t="s">
        <v>1277</v>
      </c>
      <c r="J92" s="13" t="s">
        <v>1018</v>
      </c>
      <c r="K92" s="13" t="s">
        <v>68</v>
      </c>
      <c r="L92" s="13" t="s">
        <v>208</v>
      </c>
      <c r="M92" s="13" t="s">
        <v>1278</v>
      </c>
    </row>
    <row r="93" customFormat="false" ht="35.05" hidden="false" customHeight="false" outlineLevel="0" collapsed="false">
      <c r="A93" s="13" t="s">
        <v>80</v>
      </c>
      <c r="B93" s="13" t="s">
        <v>1087</v>
      </c>
      <c r="C93" s="13" t="s">
        <v>1265</v>
      </c>
      <c r="D93" s="13" t="s">
        <v>1279</v>
      </c>
      <c r="E93" s="13" t="s">
        <v>156</v>
      </c>
      <c r="F93" s="13" t="s">
        <v>576</v>
      </c>
      <c r="G93" s="13" t="s">
        <v>61</v>
      </c>
      <c r="H93" s="13" t="s">
        <v>1248</v>
      </c>
      <c r="I93" s="13" t="s">
        <v>1280</v>
      </c>
      <c r="J93" s="13" t="s">
        <v>1018</v>
      </c>
      <c r="K93" s="13" t="s">
        <v>208</v>
      </c>
      <c r="L93" s="13" t="s">
        <v>277</v>
      </c>
      <c r="M93" s="13" t="s">
        <v>1281</v>
      </c>
    </row>
    <row r="94" customFormat="false" ht="35.05" hidden="false" customHeight="false" outlineLevel="0" collapsed="false">
      <c r="A94" s="13" t="s">
        <v>80</v>
      </c>
      <c r="B94" s="13" t="s">
        <v>1089</v>
      </c>
      <c r="C94" s="13" t="s">
        <v>1265</v>
      </c>
      <c r="D94" s="13" t="s">
        <v>1282</v>
      </c>
      <c r="E94" s="13" t="s">
        <v>576</v>
      </c>
      <c r="F94" s="13" t="s">
        <v>576</v>
      </c>
      <c r="G94" s="13" t="s">
        <v>242</v>
      </c>
      <c r="H94" s="13" t="s">
        <v>1018</v>
      </c>
      <c r="I94" s="13" t="s">
        <v>1283</v>
      </c>
      <c r="J94" s="13" t="s">
        <v>1252</v>
      </c>
      <c r="K94" s="13" t="s">
        <v>1228</v>
      </c>
      <c r="L94" s="13" t="s">
        <v>1019</v>
      </c>
      <c r="M94" s="13" t="s">
        <v>1284</v>
      </c>
    </row>
    <row r="95" customFormat="false" ht="23.85" hidden="false" customHeight="false" outlineLevel="0" collapsed="false">
      <c r="A95" s="13" t="s">
        <v>80</v>
      </c>
      <c r="B95" s="13" t="s">
        <v>1092</v>
      </c>
      <c r="C95" s="13" t="s">
        <v>1265</v>
      </c>
      <c r="D95" s="13" t="s">
        <v>1285</v>
      </c>
      <c r="E95" s="13" t="s">
        <v>576</v>
      </c>
      <c r="F95" s="13" t="s">
        <v>155</v>
      </c>
      <c r="G95" s="13" t="s">
        <v>61</v>
      </c>
      <c r="H95" s="13" t="s">
        <v>1286</v>
      </c>
      <c r="I95" s="13" t="s">
        <v>908</v>
      </c>
      <c r="J95" s="13" t="s">
        <v>1018</v>
      </c>
      <c r="K95" s="13" t="s">
        <v>1286</v>
      </c>
      <c r="L95" s="13" t="s">
        <v>328</v>
      </c>
      <c r="M95" s="13" t="s">
        <v>367</v>
      </c>
    </row>
    <row r="96" customFormat="false" ht="23.85" hidden="false" customHeight="false" outlineLevel="0" collapsed="false">
      <c r="A96" s="13" t="s">
        <v>80</v>
      </c>
      <c r="B96" s="13" t="s">
        <v>1094</v>
      </c>
      <c r="C96" s="13" t="s">
        <v>1265</v>
      </c>
      <c r="D96" s="13" t="s">
        <v>1287</v>
      </c>
      <c r="E96" s="13" t="s">
        <v>576</v>
      </c>
      <c r="F96" s="13" t="s">
        <v>129</v>
      </c>
      <c r="G96" s="13" t="s">
        <v>61</v>
      </c>
      <c r="H96" s="13" t="s">
        <v>1288</v>
      </c>
      <c r="I96" s="13" t="s">
        <v>908</v>
      </c>
      <c r="J96" s="13" t="s">
        <v>1018</v>
      </c>
      <c r="K96" s="13" t="s">
        <v>1288</v>
      </c>
      <c r="L96" s="13" t="s">
        <v>328</v>
      </c>
      <c r="M96" s="13" t="s">
        <v>367</v>
      </c>
    </row>
    <row r="97" customFormat="false" ht="35.05" hidden="false" customHeight="false" outlineLevel="0" collapsed="false">
      <c r="A97" s="13" t="s">
        <v>80</v>
      </c>
      <c r="B97" s="13" t="s">
        <v>1096</v>
      </c>
      <c r="C97" s="13" t="s">
        <v>1265</v>
      </c>
      <c r="D97" s="13" t="s">
        <v>1289</v>
      </c>
      <c r="E97" s="13" t="s">
        <v>576</v>
      </c>
      <c r="F97" s="13" t="s">
        <v>72</v>
      </c>
      <c r="G97" s="13" t="s">
        <v>1034</v>
      </c>
      <c r="H97" s="13" t="s">
        <v>602</v>
      </c>
      <c r="I97" s="13" t="s">
        <v>1290</v>
      </c>
      <c r="J97" s="13" t="s">
        <v>1018</v>
      </c>
      <c r="K97" s="13" t="s">
        <v>1291</v>
      </c>
      <c r="L97" s="13" t="s">
        <v>132</v>
      </c>
      <c r="M97" s="13" t="s">
        <v>211</v>
      </c>
    </row>
    <row r="98" customFormat="false" ht="23.85" hidden="false" customHeight="false" outlineLevel="0" collapsed="false">
      <c r="A98" s="13" t="s">
        <v>80</v>
      </c>
      <c r="B98" s="13" t="s">
        <v>1097</v>
      </c>
      <c r="C98" s="13" t="s">
        <v>1265</v>
      </c>
      <c r="D98" s="13" t="s">
        <v>1292</v>
      </c>
      <c r="E98" s="13" t="s">
        <v>155</v>
      </c>
      <c r="F98" s="13" t="s">
        <v>1016</v>
      </c>
      <c r="G98" s="13" t="s">
        <v>1293</v>
      </c>
      <c r="H98" s="13" t="s">
        <v>1016</v>
      </c>
      <c r="I98" s="13" t="s">
        <v>904</v>
      </c>
      <c r="J98" s="13" t="s">
        <v>1018</v>
      </c>
      <c r="K98" s="13" t="s">
        <v>1294</v>
      </c>
      <c r="L98" s="13" t="s">
        <v>1019</v>
      </c>
      <c r="M98" s="13" t="s">
        <v>367</v>
      </c>
    </row>
    <row r="99" customFormat="false" ht="23.85" hidden="false" customHeight="false" outlineLevel="0" collapsed="false">
      <c r="A99" s="13" t="s">
        <v>80</v>
      </c>
      <c r="B99" s="13" t="s">
        <v>1098</v>
      </c>
      <c r="C99" s="13" t="s">
        <v>1265</v>
      </c>
      <c r="D99" s="13" t="s">
        <v>1295</v>
      </c>
      <c r="E99" s="13" t="s">
        <v>1016</v>
      </c>
      <c r="F99" s="13" t="s">
        <v>97</v>
      </c>
      <c r="G99" s="13" t="s">
        <v>1217</v>
      </c>
      <c r="H99" s="13" t="s">
        <v>1018</v>
      </c>
      <c r="I99" s="13" t="s">
        <v>904</v>
      </c>
      <c r="J99" s="13" t="s">
        <v>1018</v>
      </c>
      <c r="K99" s="13" t="s">
        <v>1018</v>
      </c>
      <c r="L99" s="13" t="s">
        <v>1019</v>
      </c>
      <c r="M99" s="13" t="s">
        <v>367</v>
      </c>
    </row>
    <row r="100" customFormat="false" ht="23.85" hidden="false" customHeight="false" outlineLevel="0" collapsed="false">
      <c r="A100" s="13" t="s">
        <v>80</v>
      </c>
      <c r="B100" s="13" t="s">
        <v>1102</v>
      </c>
      <c r="C100" s="13" t="s">
        <v>1265</v>
      </c>
      <c r="D100" s="13" t="s">
        <v>1296</v>
      </c>
      <c r="E100" s="13" t="s">
        <v>129</v>
      </c>
      <c r="F100" s="13" t="s">
        <v>46</v>
      </c>
      <c r="G100" s="13" t="s">
        <v>1217</v>
      </c>
      <c r="H100" s="13" t="s">
        <v>1018</v>
      </c>
      <c r="I100" s="13" t="s">
        <v>904</v>
      </c>
      <c r="J100" s="13" t="s">
        <v>1018</v>
      </c>
      <c r="K100" s="13" t="s">
        <v>1018</v>
      </c>
      <c r="L100" s="13" t="s">
        <v>1019</v>
      </c>
      <c r="M100" s="13" t="s">
        <v>367</v>
      </c>
    </row>
    <row r="101" customFormat="false" ht="23.85" hidden="false" customHeight="false" outlineLevel="0" collapsed="false">
      <c r="A101" s="13" t="s">
        <v>80</v>
      </c>
      <c r="B101" s="13" t="s">
        <v>1297</v>
      </c>
      <c r="C101" s="13" t="s">
        <v>1265</v>
      </c>
      <c r="D101" s="13" t="s">
        <v>1298</v>
      </c>
      <c r="E101" s="13" t="s">
        <v>1299</v>
      </c>
      <c r="F101" s="13" t="s">
        <v>97</v>
      </c>
      <c r="G101" s="13" t="s">
        <v>1300</v>
      </c>
      <c r="H101" s="13" t="s">
        <v>1301</v>
      </c>
      <c r="I101" s="13" t="s">
        <v>1290</v>
      </c>
      <c r="J101" s="13" t="s">
        <v>1018</v>
      </c>
      <c r="K101" s="13" t="s">
        <v>1018</v>
      </c>
      <c r="L101" s="13" t="s">
        <v>1019</v>
      </c>
      <c r="M101" s="13" t="s">
        <v>211</v>
      </c>
    </row>
    <row r="102" customFormat="false" ht="23.85" hidden="false" customHeight="false" outlineLevel="0" collapsed="false">
      <c r="A102" s="13" t="s">
        <v>80</v>
      </c>
      <c r="B102" s="13" t="s">
        <v>1302</v>
      </c>
      <c r="C102" s="13" t="s">
        <v>1265</v>
      </c>
      <c r="D102" s="13" t="s">
        <v>1303</v>
      </c>
      <c r="E102" s="13" t="s">
        <v>1299</v>
      </c>
      <c r="F102" s="13" t="s">
        <v>46</v>
      </c>
      <c r="G102" s="13" t="s">
        <v>1304</v>
      </c>
      <c r="H102" s="13" t="s">
        <v>1305</v>
      </c>
      <c r="I102" s="13" t="s">
        <v>1290</v>
      </c>
      <c r="J102" s="13" t="s">
        <v>1018</v>
      </c>
      <c r="K102" s="13" t="s">
        <v>1018</v>
      </c>
      <c r="L102" s="13" t="s">
        <v>1019</v>
      </c>
      <c r="M102" s="13" t="s">
        <v>211</v>
      </c>
    </row>
    <row r="103" customFormat="false" ht="35.05" hidden="false" customHeight="false" outlineLevel="0" collapsed="false">
      <c r="A103" s="13" t="s">
        <v>80</v>
      </c>
      <c r="B103" s="13" t="s">
        <v>1104</v>
      </c>
      <c r="C103" s="13" t="s">
        <v>1306</v>
      </c>
      <c r="D103" s="13" t="s">
        <v>1307</v>
      </c>
      <c r="E103" s="13" t="s">
        <v>576</v>
      </c>
      <c r="F103" s="13" t="s">
        <v>156</v>
      </c>
      <c r="G103" s="13" t="s">
        <v>1240</v>
      </c>
      <c r="H103" s="13" t="s">
        <v>910</v>
      </c>
      <c r="I103" s="13" t="s">
        <v>912</v>
      </c>
      <c r="J103" s="13" t="s">
        <v>1018</v>
      </c>
      <c r="K103" s="13" t="s">
        <v>1308</v>
      </c>
      <c r="L103" s="13" t="s">
        <v>148</v>
      </c>
      <c r="M103" s="13" t="s">
        <v>1309</v>
      </c>
    </row>
    <row r="104" customFormat="false" ht="35.05" hidden="false" customHeight="false" outlineLevel="0" collapsed="false">
      <c r="A104" s="13" t="s">
        <v>80</v>
      </c>
      <c r="B104" s="13" t="s">
        <v>1106</v>
      </c>
      <c r="C104" s="13" t="s">
        <v>1306</v>
      </c>
      <c r="D104" s="13" t="s">
        <v>1310</v>
      </c>
      <c r="E104" s="13" t="s">
        <v>156</v>
      </c>
      <c r="F104" s="13" t="s">
        <v>156</v>
      </c>
      <c r="G104" s="13" t="s">
        <v>242</v>
      </c>
      <c r="H104" s="13" t="s">
        <v>1018</v>
      </c>
      <c r="I104" s="13" t="s">
        <v>1018</v>
      </c>
      <c r="J104" s="13" t="s">
        <v>1018</v>
      </c>
      <c r="K104" s="13" t="s">
        <v>1311</v>
      </c>
      <c r="L104" s="13" t="s">
        <v>208</v>
      </c>
      <c r="M104" s="13" t="s">
        <v>304</v>
      </c>
    </row>
    <row r="105" customFormat="false" ht="35.05" hidden="false" customHeight="false" outlineLevel="0" collapsed="false">
      <c r="A105" s="13" t="s">
        <v>80</v>
      </c>
      <c r="B105" s="13" t="s">
        <v>1108</v>
      </c>
      <c r="C105" s="13" t="s">
        <v>1306</v>
      </c>
      <c r="D105" s="13" t="s">
        <v>1312</v>
      </c>
      <c r="E105" s="13" t="s">
        <v>156</v>
      </c>
      <c r="F105" s="13" t="s">
        <v>576</v>
      </c>
      <c r="G105" s="13" t="s">
        <v>61</v>
      </c>
      <c r="H105" s="13" t="s">
        <v>1248</v>
      </c>
      <c r="I105" s="13" t="s">
        <v>912</v>
      </c>
      <c r="J105" s="13" t="s">
        <v>1018</v>
      </c>
      <c r="K105" s="13" t="s">
        <v>1248</v>
      </c>
      <c r="L105" s="13" t="s">
        <v>277</v>
      </c>
      <c r="M105" s="13" t="s">
        <v>1313</v>
      </c>
    </row>
    <row r="106" customFormat="false" ht="35.05" hidden="false" customHeight="false" outlineLevel="0" collapsed="false">
      <c r="A106" s="13" t="s">
        <v>80</v>
      </c>
      <c r="B106" s="13" t="s">
        <v>1110</v>
      </c>
      <c r="C106" s="13" t="s">
        <v>1306</v>
      </c>
      <c r="D106" s="13" t="s">
        <v>1314</v>
      </c>
      <c r="E106" s="13" t="s">
        <v>576</v>
      </c>
      <c r="F106" s="13" t="s">
        <v>576</v>
      </c>
      <c r="G106" s="13" t="s">
        <v>242</v>
      </c>
      <c r="H106" s="13" t="s">
        <v>1018</v>
      </c>
      <c r="I106" s="13" t="s">
        <v>1315</v>
      </c>
      <c r="J106" s="13" t="s">
        <v>955</v>
      </c>
      <c r="K106" s="13" t="s">
        <v>1316</v>
      </c>
      <c r="L106" s="13" t="s">
        <v>1019</v>
      </c>
      <c r="M106" s="13" t="s">
        <v>1317</v>
      </c>
    </row>
  </sheetData>
  <autoFilter ref="A1:M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70"/>
    <col collapsed="false" customWidth="true" hidden="false" outlineLevel="0" max="4" min="4" style="0" width="22"/>
    <col collapsed="false" customWidth="true" hidden="false" outlineLevel="0" max="5" min="5" style="0" width="32"/>
    <col collapsed="false" customWidth="true" hidden="false" outlineLevel="0" max="6" min="6" style="0" width="22"/>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0" min="10" style="0" width="12"/>
  </cols>
  <sheetData>
    <row r="1" customFormat="false" ht="30" hidden="false" customHeight="true" outlineLevel="0" collapsed="false">
      <c r="A1" s="7" t="s">
        <v>111</v>
      </c>
      <c r="B1" s="7" t="s">
        <v>76</v>
      </c>
      <c r="C1" s="7" t="s">
        <v>1318</v>
      </c>
      <c r="D1" s="7" t="s">
        <v>88</v>
      </c>
      <c r="E1" s="7" t="s">
        <v>1319</v>
      </c>
      <c r="F1" s="7" t="s">
        <v>1320</v>
      </c>
      <c r="G1" s="7" t="s">
        <v>120</v>
      </c>
      <c r="H1" s="7" t="s">
        <v>1321</v>
      </c>
      <c r="I1" s="7" t="s">
        <v>1322</v>
      </c>
      <c r="J1" s="7" t="s">
        <v>1323</v>
      </c>
    </row>
    <row r="2" customFormat="false" ht="23.85" hidden="false" customHeight="false" outlineLevel="0" collapsed="false">
      <c r="A2" s="13" t="s">
        <v>1324</v>
      </c>
      <c r="B2" s="13" t="s">
        <v>78</v>
      </c>
      <c r="C2" s="13" t="s">
        <v>1325</v>
      </c>
      <c r="D2" s="13" t="s">
        <v>1326</v>
      </c>
      <c r="E2" s="13" t="s">
        <v>1327</v>
      </c>
      <c r="F2" s="13" t="s">
        <v>125</v>
      </c>
      <c r="G2" s="13" t="s">
        <v>1328</v>
      </c>
      <c r="H2" s="13" t="s">
        <v>1329</v>
      </c>
      <c r="I2" s="15"/>
      <c r="J2" s="15"/>
    </row>
    <row r="3" customFormat="false" ht="35.05" hidden="false" customHeight="false" outlineLevel="0" collapsed="false">
      <c r="A3" s="13" t="s">
        <v>421</v>
      </c>
      <c r="B3" s="13" t="s">
        <v>78</v>
      </c>
      <c r="C3" s="13" t="s">
        <v>1330</v>
      </c>
      <c r="D3" s="13" t="s">
        <v>1326</v>
      </c>
      <c r="E3" s="13" t="s">
        <v>1331</v>
      </c>
      <c r="F3" s="13" t="s">
        <v>1332</v>
      </c>
      <c r="G3" s="13" t="s">
        <v>55</v>
      </c>
      <c r="H3" s="13" t="s">
        <v>1333</v>
      </c>
      <c r="I3" s="15"/>
      <c r="J3" s="15"/>
    </row>
    <row r="4" customFormat="false" ht="35.05" hidden="false" customHeight="false" outlineLevel="0" collapsed="false">
      <c r="A4" s="13" t="s">
        <v>1334</v>
      </c>
      <c r="B4" s="13" t="s">
        <v>78</v>
      </c>
      <c r="C4" s="13" t="s">
        <v>1335</v>
      </c>
      <c r="D4" s="13" t="s">
        <v>1326</v>
      </c>
      <c r="E4" s="13" t="s">
        <v>1336</v>
      </c>
      <c r="F4" s="13" t="s">
        <v>264</v>
      </c>
      <c r="G4" s="13" t="s">
        <v>55</v>
      </c>
      <c r="H4" s="13" t="s">
        <v>1337</v>
      </c>
      <c r="I4" s="15"/>
      <c r="J4" s="15"/>
    </row>
    <row r="5" customFormat="false" ht="23.85" hidden="false" customHeight="false" outlineLevel="0" collapsed="false">
      <c r="A5" s="13" t="s">
        <v>322</v>
      </c>
      <c r="B5" s="13" t="s">
        <v>78</v>
      </c>
      <c r="C5" s="13" t="s">
        <v>1338</v>
      </c>
      <c r="D5" s="13" t="s">
        <v>1326</v>
      </c>
      <c r="E5" s="13" t="s">
        <v>1339</v>
      </c>
      <c r="F5" s="13" t="s">
        <v>317</v>
      </c>
      <c r="G5" s="13" t="s">
        <v>55</v>
      </c>
      <c r="H5" s="13" t="s">
        <v>1340</v>
      </c>
      <c r="I5" s="15"/>
      <c r="J5" s="15"/>
    </row>
    <row r="6" customFormat="false" ht="23.85" hidden="false" customHeight="false" outlineLevel="0" collapsed="false">
      <c r="A6" s="13" t="s">
        <v>1341</v>
      </c>
      <c r="B6" s="13" t="s">
        <v>78</v>
      </c>
      <c r="C6" s="13" t="s">
        <v>1342</v>
      </c>
      <c r="D6" s="13" t="s">
        <v>1326</v>
      </c>
      <c r="E6" s="13" t="s">
        <v>1343</v>
      </c>
      <c r="F6" s="13" t="s">
        <v>136</v>
      </c>
      <c r="G6" s="13" t="s">
        <v>55</v>
      </c>
      <c r="H6" s="13" t="s">
        <v>1344</v>
      </c>
      <c r="I6" s="15"/>
      <c r="J6" s="15"/>
    </row>
    <row r="7" customFormat="false" ht="23.85" hidden="false" customHeight="false" outlineLevel="0" collapsed="false">
      <c r="A7" s="13" t="s">
        <v>1345</v>
      </c>
      <c r="B7" s="13" t="s">
        <v>78</v>
      </c>
      <c r="C7" s="13" t="s">
        <v>1346</v>
      </c>
      <c r="D7" s="13" t="s">
        <v>1326</v>
      </c>
      <c r="E7" s="13" t="s">
        <v>1327</v>
      </c>
      <c r="F7" s="13" t="s">
        <v>125</v>
      </c>
      <c r="G7" s="13" t="s">
        <v>55</v>
      </c>
      <c r="H7" s="13" t="s">
        <v>1347</v>
      </c>
      <c r="I7" s="15"/>
      <c r="J7" s="15"/>
    </row>
    <row r="8" customFormat="false" ht="23.85" hidden="false" customHeight="false" outlineLevel="0" collapsed="false">
      <c r="A8" s="13" t="s">
        <v>410</v>
      </c>
      <c r="B8" s="13" t="s">
        <v>73</v>
      </c>
      <c r="C8" s="13" t="s">
        <v>1348</v>
      </c>
      <c r="D8" s="13" t="s">
        <v>1326</v>
      </c>
      <c r="E8" s="13" t="s">
        <v>1349</v>
      </c>
      <c r="F8" s="13" t="s">
        <v>405</v>
      </c>
      <c r="G8" s="13" t="s">
        <v>55</v>
      </c>
      <c r="H8" s="13" t="s">
        <v>1350</v>
      </c>
      <c r="I8" s="15"/>
      <c r="J8" s="15"/>
    </row>
    <row r="9" customFormat="false" ht="23.85" hidden="false" customHeight="false" outlineLevel="0" collapsed="false">
      <c r="A9" s="13" t="s">
        <v>149</v>
      </c>
      <c r="B9" s="13" t="s">
        <v>78</v>
      </c>
      <c r="C9" s="13" t="s">
        <v>1351</v>
      </c>
      <c r="D9" s="13" t="s">
        <v>1326</v>
      </c>
      <c r="E9" s="13" t="s">
        <v>1336</v>
      </c>
      <c r="F9" s="13" t="s">
        <v>142</v>
      </c>
      <c r="G9" s="13" t="s">
        <v>55</v>
      </c>
      <c r="H9" s="13" t="s">
        <v>1352</v>
      </c>
      <c r="I9" s="15"/>
      <c r="J9" s="15"/>
    </row>
    <row r="10" customFormat="false" ht="35.05" hidden="false" customHeight="false" outlineLevel="0" collapsed="false">
      <c r="A10" s="13" t="s">
        <v>389</v>
      </c>
      <c r="B10" s="13" t="s">
        <v>78</v>
      </c>
      <c r="C10" s="13" t="s">
        <v>1353</v>
      </c>
      <c r="D10" s="13" t="s">
        <v>1326</v>
      </c>
      <c r="E10" s="13" t="s">
        <v>1354</v>
      </c>
      <c r="F10" s="13" t="s">
        <v>383</v>
      </c>
      <c r="G10" s="13" t="s">
        <v>55</v>
      </c>
      <c r="H10" s="13" t="s">
        <v>1355</v>
      </c>
      <c r="I10" s="15"/>
      <c r="J10" s="15"/>
    </row>
    <row r="11" customFormat="false" ht="23.85" hidden="false" customHeight="false" outlineLevel="0" collapsed="false">
      <c r="A11" s="13" t="s">
        <v>278</v>
      </c>
      <c r="B11" s="13" t="s">
        <v>79</v>
      </c>
      <c r="C11" s="13" t="s">
        <v>1356</v>
      </c>
      <c r="D11" s="13" t="s">
        <v>1357</v>
      </c>
      <c r="E11" s="13" t="s">
        <v>1354</v>
      </c>
      <c r="F11" s="13" t="s">
        <v>1358</v>
      </c>
      <c r="G11" s="13" t="s">
        <v>55</v>
      </c>
      <c r="H11" s="13" t="s">
        <v>1359</v>
      </c>
      <c r="I11" s="15"/>
      <c r="J11" s="15"/>
    </row>
    <row r="12" customFormat="false" ht="23.85" hidden="false" customHeight="false" outlineLevel="0" collapsed="false">
      <c r="A12" s="13" t="s">
        <v>1360</v>
      </c>
      <c r="B12" s="13" t="s">
        <v>79</v>
      </c>
      <c r="C12" s="13" t="s">
        <v>1361</v>
      </c>
      <c r="D12" s="13" t="s">
        <v>1362</v>
      </c>
      <c r="E12" s="13" t="s">
        <v>1331</v>
      </c>
      <c r="F12" s="13"/>
      <c r="G12" s="13" t="s">
        <v>55</v>
      </c>
      <c r="H12" s="13" t="s">
        <v>1363</v>
      </c>
      <c r="I12" s="15"/>
      <c r="J12" s="15"/>
    </row>
    <row r="13" customFormat="false" ht="23.85" hidden="false" customHeight="false" outlineLevel="0" collapsed="false">
      <c r="A13" s="13" t="s">
        <v>194</v>
      </c>
      <c r="B13" s="13" t="s">
        <v>80</v>
      </c>
      <c r="C13" s="13" t="s">
        <v>1364</v>
      </c>
      <c r="D13" s="13" t="s">
        <v>1365</v>
      </c>
      <c r="E13" s="13" t="s">
        <v>1366</v>
      </c>
      <c r="F13" s="13" t="s">
        <v>1367</v>
      </c>
      <c r="G13" s="13" t="s">
        <v>55</v>
      </c>
      <c r="H13" s="13" t="s">
        <v>1368</v>
      </c>
      <c r="I13" s="15"/>
      <c r="J13" s="15"/>
    </row>
    <row r="14" customFormat="false" ht="23.85" hidden="false" customHeight="false" outlineLevel="0" collapsed="false">
      <c r="A14" s="13" t="s">
        <v>231</v>
      </c>
      <c r="B14" s="13" t="s">
        <v>80</v>
      </c>
      <c r="C14" s="13" t="s">
        <v>1369</v>
      </c>
      <c r="D14" s="13" t="s">
        <v>1365</v>
      </c>
      <c r="E14" s="13" t="s">
        <v>1327</v>
      </c>
      <c r="F14" s="13" t="s">
        <v>1370</v>
      </c>
      <c r="G14" s="13" t="s">
        <v>55</v>
      </c>
      <c r="H14" s="13" t="s">
        <v>1371</v>
      </c>
      <c r="I14" s="15"/>
      <c r="J14" s="15"/>
    </row>
    <row r="15" customFormat="false" ht="23.85" hidden="false" customHeight="false" outlineLevel="0" collapsed="false">
      <c r="A15" s="13" t="s">
        <v>174</v>
      </c>
      <c r="B15" s="13" t="s">
        <v>80</v>
      </c>
      <c r="C15" s="13" t="s">
        <v>1372</v>
      </c>
      <c r="D15" s="13" t="s">
        <v>1373</v>
      </c>
      <c r="E15" s="13" t="s">
        <v>1374</v>
      </c>
      <c r="F15" s="13" t="s">
        <v>167</v>
      </c>
      <c r="G15" s="13" t="s">
        <v>55</v>
      </c>
      <c r="H15" s="13" t="s">
        <v>1375</v>
      </c>
      <c r="I15" s="15"/>
      <c r="J15" s="15"/>
    </row>
    <row r="16" customFormat="false" ht="23.85" hidden="false" customHeight="false" outlineLevel="0" collapsed="false">
      <c r="A16" s="13" t="s">
        <v>186</v>
      </c>
      <c r="B16" s="13" t="s">
        <v>80</v>
      </c>
      <c r="C16" s="13" t="s">
        <v>1376</v>
      </c>
      <c r="D16" s="13" t="s">
        <v>1373</v>
      </c>
      <c r="E16" s="13" t="s">
        <v>1377</v>
      </c>
      <c r="F16" s="13" t="s">
        <v>1378</v>
      </c>
      <c r="G16" s="13" t="s">
        <v>55</v>
      </c>
      <c r="H16" s="13" t="s">
        <v>1379</v>
      </c>
      <c r="I16" s="15"/>
      <c r="J16" s="15"/>
    </row>
    <row r="17" customFormat="false" ht="23.85" hidden="false" customHeight="false" outlineLevel="0" collapsed="false">
      <c r="A17" s="13" t="s">
        <v>355</v>
      </c>
      <c r="B17" s="13" t="s">
        <v>80</v>
      </c>
      <c r="C17" s="13" t="s">
        <v>1380</v>
      </c>
      <c r="D17" s="13" t="s">
        <v>1381</v>
      </c>
      <c r="E17" s="13" t="s">
        <v>1382</v>
      </c>
      <c r="F17" s="13" t="s">
        <v>351</v>
      </c>
      <c r="G17" s="13" t="s">
        <v>55</v>
      </c>
      <c r="H17" s="13" t="s">
        <v>1383</v>
      </c>
      <c r="I17" s="15"/>
      <c r="J17" s="15"/>
    </row>
    <row r="18" customFormat="false" ht="23.85" hidden="false" customHeight="false" outlineLevel="0" collapsed="false">
      <c r="A18" s="13" t="s">
        <v>215</v>
      </c>
      <c r="B18" s="13" t="s">
        <v>80</v>
      </c>
      <c r="C18" s="13" t="s">
        <v>1384</v>
      </c>
      <c r="D18" s="13" t="s">
        <v>1385</v>
      </c>
      <c r="E18" s="13" t="s">
        <v>1386</v>
      </c>
      <c r="F18" s="13" t="s">
        <v>211</v>
      </c>
      <c r="G18" s="13" t="s">
        <v>55</v>
      </c>
      <c r="H18" s="13" t="s">
        <v>1387</v>
      </c>
      <c r="I18" s="15"/>
      <c r="J18" s="15"/>
    </row>
    <row r="19" customFormat="false" ht="46.25" hidden="false" customHeight="false" outlineLevel="0" collapsed="false">
      <c r="A19" s="13" t="s">
        <v>297</v>
      </c>
      <c r="B19" s="13" t="s">
        <v>80</v>
      </c>
      <c r="C19" s="13" t="s">
        <v>1388</v>
      </c>
      <c r="D19" s="13" t="s">
        <v>1373</v>
      </c>
      <c r="E19" s="13" t="s">
        <v>1343</v>
      </c>
      <c r="F19" s="13" t="s">
        <v>1389</v>
      </c>
      <c r="G19" s="13" t="s">
        <v>55</v>
      </c>
      <c r="H19" s="13" t="s">
        <v>1390</v>
      </c>
      <c r="I19" s="15"/>
      <c r="J19" s="15"/>
    </row>
    <row r="20" customFormat="false" ht="23.85" hidden="false" customHeight="false" outlineLevel="0" collapsed="false">
      <c r="A20" s="13" t="s">
        <v>165</v>
      </c>
      <c r="B20" s="13" t="s">
        <v>73</v>
      </c>
      <c r="C20" s="13" t="s">
        <v>1391</v>
      </c>
      <c r="D20" s="13" t="s">
        <v>1392</v>
      </c>
      <c r="E20" s="13" t="s">
        <v>1343</v>
      </c>
      <c r="F20" s="13" t="s">
        <v>1393</v>
      </c>
      <c r="G20" s="13" t="s">
        <v>55</v>
      </c>
      <c r="H20" s="13" t="s">
        <v>1394</v>
      </c>
      <c r="I20" s="15"/>
      <c r="J20" s="15"/>
    </row>
    <row r="21" customFormat="false" ht="23.85" hidden="false" customHeight="false" outlineLevel="0" collapsed="false">
      <c r="A21" s="13" t="s">
        <v>285</v>
      </c>
      <c r="B21" s="13" t="s">
        <v>73</v>
      </c>
      <c r="C21" s="13" t="s">
        <v>1395</v>
      </c>
      <c r="D21" s="13" t="s">
        <v>1392</v>
      </c>
      <c r="E21" s="13" t="s">
        <v>1343</v>
      </c>
      <c r="F21" s="13" t="s">
        <v>1396</v>
      </c>
      <c r="G21" s="13" t="s">
        <v>55</v>
      </c>
      <c r="H21" s="13" t="s">
        <v>1397</v>
      </c>
      <c r="I21" s="15"/>
      <c r="J21" s="15"/>
    </row>
    <row r="22" customFormat="false" ht="23.85" hidden="false" customHeight="false" outlineLevel="0" collapsed="false">
      <c r="A22" s="13" t="s">
        <v>243</v>
      </c>
      <c r="B22" s="13" t="s">
        <v>73</v>
      </c>
      <c r="C22" s="13" t="s">
        <v>1398</v>
      </c>
      <c r="D22" s="13" t="s">
        <v>1392</v>
      </c>
      <c r="E22" s="13" t="s">
        <v>1399</v>
      </c>
      <c r="F22" s="13" t="s">
        <v>1400</v>
      </c>
      <c r="G22" s="13" t="s">
        <v>55</v>
      </c>
      <c r="H22" s="13" t="s">
        <v>1401</v>
      </c>
      <c r="I22" s="15"/>
      <c r="J22" s="15"/>
    </row>
    <row r="23" customFormat="false" ht="23.85" hidden="false" customHeight="false" outlineLevel="0" collapsed="false">
      <c r="A23" s="13" t="s">
        <v>158</v>
      </c>
      <c r="B23" s="13" t="s">
        <v>79</v>
      </c>
      <c r="C23" s="13" t="s">
        <v>1402</v>
      </c>
      <c r="D23" s="13" t="s">
        <v>1362</v>
      </c>
      <c r="E23" s="13" t="s">
        <v>1399</v>
      </c>
      <c r="F23" s="13" t="s">
        <v>1403</v>
      </c>
      <c r="G23" s="13" t="s">
        <v>55</v>
      </c>
      <c r="H23" s="13" t="s">
        <v>1404</v>
      </c>
      <c r="I23" s="15"/>
      <c r="J23" s="15"/>
    </row>
    <row r="24" customFormat="false" ht="35.05" hidden="false" customHeight="false" outlineLevel="0" collapsed="false">
      <c r="A24" s="13" t="s">
        <v>309</v>
      </c>
      <c r="B24" s="13" t="s">
        <v>80</v>
      </c>
      <c r="C24" s="13" t="s">
        <v>1405</v>
      </c>
      <c r="D24" s="13" t="s">
        <v>1392</v>
      </c>
      <c r="E24" s="13" t="s">
        <v>1406</v>
      </c>
      <c r="F24" s="13" t="s">
        <v>1407</v>
      </c>
      <c r="G24" s="13" t="s">
        <v>55</v>
      </c>
      <c r="H24" s="13" t="s">
        <v>1408</v>
      </c>
      <c r="I24" s="15"/>
      <c r="J24" s="15"/>
    </row>
    <row r="25" customFormat="false" ht="35.05" hidden="false" customHeight="false" outlineLevel="0" collapsed="false">
      <c r="A25" s="13" t="s">
        <v>1409</v>
      </c>
      <c r="B25" s="13" t="s">
        <v>79</v>
      </c>
      <c r="C25" s="13" t="s">
        <v>1410</v>
      </c>
      <c r="D25" s="13" t="s">
        <v>1392</v>
      </c>
      <c r="E25" s="13" t="s">
        <v>1399</v>
      </c>
      <c r="F25" s="13" t="s">
        <v>1411</v>
      </c>
      <c r="G25" s="13" t="s">
        <v>55</v>
      </c>
      <c r="H25" s="13" t="s">
        <v>1412</v>
      </c>
      <c r="I25" s="15"/>
      <c r="J25" s="15"/>
    </row>
    <row r="26" customFormat="false" ht="46.25" hidden="false" customHeight="false" outlineLevel="0" collapsed="false">
      <c r="A26" s="13" t="s">
        <v>1413</v>
      </c>
      <c r="B26" s="13" t="s">
        <v>73</v>
      </c>
      <c r="C26" s="13" t="s">
        <v>1414</v>
      </c>
      <c r="D26" s="13" t="s">
        <v>1392</v>
      </c>
      <c r="E26" s="13" t="s">
        <v>1415</v>
      </c>
      <c r="F26" s="13" t="s">
        <v>1416</v>
      </c>
      <c r="G26" s="13" t="s">
        <v>55</v>
      </c>
      <c r="H26" s="13" t="s">
        <v>1417</v>
      </c>
      <c r="I26" s="15"/>
      <c r="J26" s="15"/>
    </row>
    <row r="27" customFormat="false" ht="35.05" hidden="false" customHeight="false" outlineLevel="0" collapsed="false">
      <c r="A27" s="13" t="s">
        <v>458</v>
      </c>
      <c r="B27" s="13" t="s">
        <v>73</v>
      </c>
      <c r="C27" s="13" t="s">
        <v>1418</v>
      </c>
      <c r="D27" s="13" t="s">
        <v>1419</v>
      </c>
      <c r="E27" s="13" t="s">
        <v>1420</v>
      </c>
      <c r="F27" s="13" t="s">
        <v>1421</v>
      </c>
      <c r="G27" s="13" t="s">
        <v>55</v>
      </c>
      <c r="H27" s="13" t="s">
        <v>1422</v>
      </c>
      <c r="I27" s="15"/>
      <c r="J27" s="15"/>
    </row>
    <row r="28" customFormat="false" ht="35.05" hidden="false" customHeight="false" outlineLevel="0" collapsed="false">
      <c r="A28" s="13" t="s">
        <v>1423</v>
      </c>
      <c r="B28" s="13" t="s">
        <v>80</v>
      </c>
      <c r="C28" s="13" t="s">
        <v>1424</v>
      </c>
      <c r="D28" s="13" t="s">
        <v>1392</v>
      </c>
      <c r="E28" s="13" t="s">
        <v>1327</v>
      </c>
      <c r="F28" s="13"/>
      <c r="G28" s="13" t="s">
        <v>55</v>
      </c>
      <c r="H28" s="13" t="s">
        <v>1425</v>
      </c>
      <c r="I28" s="15"/>
      <c r="J28" s="15"/>
    </row>
  </sheetData>
  <autoFilter ref="A1:J28"/>
  <dataValidations count="1">
    <dataValidation allowBlank="true" errorStyle="stop" operator="between" showDropDown="false" showErrorMessage="false" showInputMessage="false" sqref="G2:G28" type="list">
      <formula1>"Open,Proposed decision,Closed"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16"/>
    <col collapsed="false" customWidth="true" hidden="false" outlineLevel="0" max="4" min="4" style="0" width="60"/>
  </cols>
  <sheetData>
    <row r="1" customFormat="false" ht="30" hidden="false" customHeight="true" outlineLevel="0" collapsed="false">
      <c r="A1" s="7" t="s">
        <v>1426</v>
      </c>
      <c r="B1" s="7" t="s">
        <v>134</v>
      </c>
      <c r="C1" s="7" t="s">
        <v>1323</v>
      </c>
      <c r="D1" s="7" t="s">
        <v>1427</v>
      </c>
    </row>
    <row r="2" customFormat="false" ht="15" hidden="false" customHeight="false" outlineLevel="0" collapsed="false">
      <c r="A2" s="13" t="s">
        <v>78</v>
      </c>
      <c r="B2" s="13" t="s">
        <v>1428</v>
      </c>
      <c r="C2" s="13" t="s">
        <v>1429</v>
      </c>
      <c r="D2" s="13" t="s">
        <v>1430</v>
      </c>
    </row>
    <row r="3" customFormat="false" ht="15" hidden="false" customHeight="false" outlineLevel="0" collapsed="false">
      <c r="A3" s="13" t="s">
        <v>79</v>
      </c>
      <c r="B3" s="13" t="s">
        <v>1431</v>
      </c>
      <c r="C3" s="13" t="s">
        <v>1432</v>
      </c>
      <c r="D3" s="13" t="s">
        <v>1433</v>
      </c>
    </row>
    <row r="4" customFormat="false" ht="15" hidden="false" customHeight="false" outlineLevel="0" collapsed="false">
      <c r="A4" s="13" t="s">
        <v>80</v>
      </c>
      <c r="B4" s="13" t="s">
        <v>1434</v>
      </c>
      <c r="C4" s="13" t="s">
        <v>1435</v>
      </c>
      <c r="D4" s="13" t="s">
        <v>1436</v>
      </c>
    </row>
    <row r="5" customFormat="false" ht="23.85" hidden="false" customHeight="false" outlineLevel="0" collapsed="false">
      <c r="A5" s="13" t="s">
        <v>67</v>
      </c>
      <c r="B5" s="13" t="s">
        <v>1437</v>
      </c>
      <c r="C5" s="13" t="s">
        <v>1435</v>
      </c>
      <c r="D5" s="13" t="s">
        <v>1438</v>
      </c>
    </row>
  </sheetData>
  <autoFilter ref="A1:D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2026-10-01T20:37:57Z</dcterms:created>
  <dc:creator>openpyxl</dc:creator>
  <dc:description/>
  <dc:language>en-US</dc:language>
  <cp:lastModifiedBy/>
  <dcterms:modified xsi:type="dcterms:W3CDTF">2026-10-01T20:37:57Z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