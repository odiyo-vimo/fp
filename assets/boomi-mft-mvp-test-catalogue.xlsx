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Test catalogue" sheetId="3" state="visible" r:id="rId5"/>
    <sheet name="Success criteria" sheetId="4" state="visible" r:id="rId6"/>
    <sheet name="Patterns" sheetId="5" state="visible" r:id="rId7"/>
    <sheet name="Review findings" sheetId="6" state="visible" r:id="rId8"/>
    <sheet name="Decisions" sheetId="7" state="visible" r:id="rId9"/>
    <sheet name="Dependencies" sheetId="8" state="visible" r:id="rId10"/>
    <sheet name="Risks" sheetId="9" state="visible" r:id="rId11"/>
  </sheets>
  <definedNames>
    <definedName function="false" hidden="true" localSheetId="6" name="_xlnm._FilterDatabase" vbProcedure="false">Decisions!$A$1:$F$12</definedName>
    <definedName function="false" hidden="true" localSheetId="7" name="_xlnm._FilterDatabase" vbProcedure="false">Dependencies!$A$1:$E$9</definedName>
    <definedName function="false" hidden="true" localSheetId="4" name="_xlnm._FilterDatabase" vbProcedure="false">Patterns!$A$1:$H$5</definedName>
    <definedName function="false" hidden="true" localSheetId="5" name="_xlnm._FilterDatabase" vbProcedure="false">'Review findings'!$A$1:$G$27</definedName>
    <definedName function="false" hidden="true" localSheetId="8" name="_xlnm._FilterDatabase" vbProcedure="false">Risks!$A$1:$E$8</definedName>
    <definedName function="false" hidden="true" localSheetId="3" name="_xlnm._FilterDatabase" vbProcedure="false">'Success criteria'!$A$1:$F$9</definedName>
    <definedName function="false" hidden="true" localSheetId="2" name="_xlnm._FilterDatabase" vbProcedure="false">'Test catalogue'!$A$1:$N$71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<sst xmlns="http://schemas.openxmlformats.org/spreadsheetml/2006/main" count="1117" uniqueCount="458">
  <si>
    <t xml:space="preserve">Boomi MFT MVP: Concept Note Review</t>
  </si>
  <si>
    <t xml:space="preserve">Reviewed: Boomi Managed File Transfer MVP, Executive Concept Note, Draft v0.2 (9 September 2026)</t>
  </si>
  <si>
    <t xml:space="preserve">Review v1.0 and suggested redraft v0.3 (draft), 20 October 2026</t>
  </si>
  <si>
    <t xml:space="preserve">Purpose</t>
  </si>
  <si>
    <t xml:space="preserve">Test and evidence catalogue for the four Boomi MFT MVP patterns, with review findings, decisions, dependencies and risks for the concept note.</t>
  </si>
  <si>
    <t xml:space="preserve">How to use</t>
  </si>
  <si>
    <t xml:space="preserve">1. Close the decisions on the Decisions sheet first. D-MVP-01 and D-MVP-05 decide which AV tests apply to P1, P2 and P4.</t>
  </si>
  <si>
    <t xml:space="preserve">2. On Test catalogue, set Status for each test and fill Run date, Tester and Evidence link. Mark AV tests Not applicable where AV does not run on that pattern.</t>
  </si>
  <si>
    <t xml:space="preserve">3. Summary and Success criteria update themselves from the Status column. A criterion shows Met only when every linked test is Passed or Not applicable.</t>
  </si>
  <si>
    <t xml:space="preserve">4. Record your response to each review finding on Review findings.</t>
  </si>
  <si>
    <t xml:space="preserve">Legend</t>
  </si>
  <si>
    <t xml:space="preserve">Yellow cells are for you to fill in. All other cells are reference data or formulas.</t>
  </si>
  <si>
    <t xml:space="preserve">Example of a completed test row</t>
  </si>
  <si>
    <t xml:space="preserve">P3-TC-06 | Status: Passed | Run date: 03/11/2026 | Tester: Test Lead | Evidence link: evidence/P3-TC-06-alert.png | Notes: Quarantined in 40 s, alert received in 2 min.</t>
  </si>
  <si>
    <t xml:space="preserve">Assumed targets (to confirm under D-MVP-07): five consecutive scheduled runs per pattern; alert within 15 minutes; AV limit about 250 MB (G-15).</t>
  </si>
  <si>
    <t xml:space="preserve">Pattern</t>
  </si>
  <si>
    <t xml:space="preserve">Tests</t>
  </si>
  <si>
    <t xml:space="preserve">Passed</t>
  </si>
  <si>
    <t xml:space="preserve">Failed</t>
  </si>
  <si>
    <t xml:space="preserve">Blocked</t>
  </si>
  <si>
    <t xml:space="preserve">Not applicable</t>
  </si>
  <si>
    <t xml:space="preserve">Not run</t>
  </si>
  <si>
    <t xml:space="preserve">Complete %</t>
  </si>
  <si>
    <t xml:space="preserve">P1 External to external</t>
  </si>
  <si>
    <t xml:space="preserve">P2 Internal to internal</t>
  </si>
  <si>
    <t xml:space="preserve">P3 External to internal</t>
  </si>
  <si>
    <t xml:space="preserve">P4 Internal to external</t>
  </si>
  <si>
    <t xml:space="preserve">All (platform)</t>
  </si>
  <si>
    <t xml:space="preserve">Total</t>
  </si>
  <si>
    <t xml:space="preserve">Review findings by severity</t>
  </si>
  <si>
    <t xml:space="preserve">High</t>
  </si>
  <si>
    <t xml:space="preserve">Medium</t>
  </si>
  <si>
    <t xml:space="preserve">Low</t>
  </si>
  <si>
    <t xml:space="preserve">Success criteria met</t>
  </si>
  <si>
    <t xml:space="preserve">Test ID</t>
  </si>
  <si>
    <t xml:space="preserve">Category</t>
  </si>
  <si>
    <t xml:space="preserve">Scenario</t>
  </si>
  <si>
    <t xml:space="preserve">Steps</t>
  </si>
  <si>
    <t xml:space="preserve">Expected result</t>
  </si>
  <si>
    <t xml:space="preserve">Success criteria</t>
  </si>
  <si>
    <t xml:space="preserve">Evidence required</t>
  </si>
  <si>
    <t xml:space="preserve">Priority</t>
  </si>
  <si>
    <t xml:space="preserve">Status</t>
  </si>
  <si>
    <t xml:space="preserve">Run date</t>
  </si>
  <si>
    <t xml:space="preserve">Tester</t>
  </si>
  <si>
    <t xml:space="preserve">Evidence link</t>
  </si>
  <si>
    <t xml:space="preserve">Notes</t>
  </si>
  <si>
    <t xml:space="preserve">P1-TC-01</t>
  </si>
  <si>
    <t xml:space="preserve">Positive</t>
  </si>
  <si>
    <t xml:space="preserve">Scheduled transfer, single file</t>
  </si>
  <si>
    <t xml:space="preserve">Place one test file at source; wait for schedule.</t>
  </si>
  <si>
    <t xml:space="preserve">File at target; SHA-256 matches source; audit record complete.</t>
  </si>
  <si>
    <t xml:space="preserve">SC-1, SC-5</t>
  </si>
  <si>
    <t xml:space="preserve">Audit record, checksum comparison</t>
  </si>
  <si>
    <t xml:space="preserve">Must</t>
  </si>
  <si>
    <t xml:space="preserve">P1-TC-02</t>
  </si>
  <si>
    <t xml:space="preserve">API-triggered transfer, single file</t>
  </si>
  <si>
    <t xml:space="preserve">Call the trigger API with the agreed client and auth.</t>
  </si>
  <si>
    <t xml:space="preserve">File at target; SHA-256 matches; audit record shows API trigger.</t>
  </si>
  <si>
    <t xml:space="preserve">API response, audit record</t>
  </si>
  <si>
    <t xml:space="preserve">P1-TC-03</t>
  </si>
  <si>
    <t xml:space="preserve">Multiple files in one run</t>
  </si>
  <si>
    <t xml:space="preserve">Place five files at source; run.</t>
  </si>
  <si>
    <t xml:space="preserve">All five delivered; one audit record each.</t>
  </si>
  <si>
    <t xml:space="preserve">Audit extract</t>
  </si>
  <si>
    <t xml:space="preserve">Should</t>
  </si>
  <si>
    <t xml:space="preserve">P1-TC-04</t>
  </si>
  <si>
    <t xml:space="preserve">Consecutive scheduled runs</t>
  </si>
  <si>
    <t xml:space="preserve">Leave schedule running for five cycles with new files each cycle.</t>
  </si>
  <si>
    <t xml:space="preserve">Five successful runs, no manual intervention.</t>
  </si>
  <si>
    <t xml:space="preserve">SC-2</t>
  </si>
  <si>
    <t xml:space="preserve">Transfer history screenshot or export</t>
  </si>
  <si>
    <t xml:space="preserve">P1-TC-05</t>
  </si>
  <si>
    <t xml:space="preserve">Source handling after transfer</t>
  </si>
  <si>
    <t xml:space="preserve">Check source after a successful run.</t>
  </si>
  <si>
    <t xml:space="preserve">Source file deleted, archived or kept as per D-MVP-08.</t>
  </si>
  <si>
    <t xml:space="preserve">SC-1</t>
  </si>
  <si>
    <t xml:space="preserve">Source listing before and after</t>
  </si>
  <si>
    <t xml:space="preserve">P1-TC-06</t>
  </si>
  <si>
    <t xml:space="preserve">Negative</t>
  </si>
  <si>
    <t xml:space="preserve">Infected file (EICAR test file)</t>
  </si>
  <si>
    <t xml:space="preserve">Place EICAR test file at source.</t>
  </si>
  <si>
    <t xml:space="preserve">File quarantined, not delivered; alert raised; audit outcome shows quarantine.</t>
  </si>
  <si>
    <t xml:space="preserve">SC-3, SC-4</t>
  </si>
  <si>
    <t xml:space="preserve">Alert, audit record, target listing</t>
  </si>
  <si>
    <t xml:space="preserve">Applies only if AV runs on this pattern (D-MVP-01, D-MVP-05).</t>
  </si>
  <si>
    <t xml:space="preserve">P1-TC-07</t>
  </si>
  <si>
    <t xml:space="preserve">AV service unavailable</t>
  </si>
  <si>
    <t xml:space="preserve">Stop or block the AV service, then run.</t>
  </si>
  <si>
    <t xml:space="preserve">Transfer held (fail closed); alert raised; nothing delivered unscanned.</t>
  </si>
  <si>
    <t xml:space="preserve">Alert, audit record</t>
  </si>
  <si>
    <t xml:space="preserve">P1-TC-08</t>
  </si>
  <si>
    <t xml:space="preserve">Target unavailable or credentials rejected</t>
  </si>
  <si>
    <t xml:space="preserve">Block target or rotate target credentials, then run.</t>
  </si>
  <si>
    <t xml:space="preserve">Retries per policy, then failure alert; no partial file at target.</t>
  </si>
  <si>
    <t xml:space="preserve">SC-3</t>
  </si>
  <si>
    <t xml:space="preserve">Alert, retry log, target listing</t>
  </si>
  <si>
    <t xml:space="preserve">P1-TC-09</t>
  </si>
  <si>
    <t xml:space="preserve">Non-arrival</t>
  </si>
  <si>
    <t xml:space="preserve">Leave source empty through the expected window.</t>
  </si>
  <si>
    <t xml:space="preserve">Non-arrival alert raised within target time.</t>
  </si>
  <si>
    <t xml:space="preserve">Alert with timestamp</t>
  </si>
  <si>
    <t xml:space="preserve">P1-TC-10</t>
  </si>
  <si>
    <t xml:space="preserve">Zero-byte file</t>
  </si>
  <si>
    <t xml:space="preserve">Place a zero-byte file at source.</t>
  </si>
  <si>
    <t xml:space="preserve">Handled per agreed rule (reject or transfer) with audit outcome.</t>
  </si>
  <si>
    <t xml:space="preserve">SC-5</t>
  </si>
  <si>
    <t xml:space="preserve">Audit record</t>
  </si>
  <si>
    <t xml:space="preserve">P1-TC-11</t>
  </si>
  <si>
    <t xml:space="preserve">File name breaks naming rule</t>
  </si>
  <si>
    <t xml:space="preserve">Place a file with an invalid name.</t>
  </si>
  <si>
    <t xml:space="preserve">Not transferred; alert or audit outcome shows rejection.</t>
  </si>
  <si>
    <t xml:space="preserve">SC-3, SC-5</t>
  </si>
  <si>
    <t xml:space="preserve">P1-TC-12</t>
  </si>
  <si>
    <t xml:space="preserve">Duplicate file name at target</t>
  </si>
  <si>
    <t xml:space="preserve">Send a file whose name already exists at target.</t>
  </si>
  <si>
    <t xml:space="preserve">Handled per agreed rule (overwrite, version or reject) with audit.</t>
  </si>
  <si>
    <t xml:space="preserve">Target listing, audit record</t>
  </si>
  <si>
    <t xml:space="preserve">P1-TC-13</t>
  </si>
  <si>
    <t xml:space="preserve">File above AV size limit (G-15)</t>
  </si>
  <si>
    <t xml:space="preserve">Place a file larger than the AV limit (about 250 MB).</t>
  </si>
  <si>
    <t xml:space="preserve">Deterministic outcome per D-MVP-05; never delivered unscanned; alert raised.</t>
  </si>
  <si>
    <t xml:space="preserve">SC-4</t>
  </si>
  <si>
    <t xml:space="preserve">P1-TC-14</t>
  </si>
  <si>
    <t xml:space="preserve">Largest permitted file within AV limit</t>
  </si>
  <si>
    <t xml:space="preserve">Transfer a file just under the AV limit.</t>
  </si>
  <si>
    <t xml:space="preserve">Delivered and scanned; duration recorded for sizing.</t>
  </si>
  <si>
    <t xml:space="preserve">Audit record with timings</t>
  </si>
  <si>
    <t xml:space="preserve">P1-TC-15</t>
  </si>
  <si>
    <t xml:space="preserve">Interrupted transfer</t>
  </si>
  <si>
    <t xml:space="preserve">Drop the network mid-transfer.</t>
  </si>
  <si>
    <t xml:space="preserve">Resume or restart; no corrupt or partial file left at target.</t>
  </si>
  <si>
    <t xml:space="preserve">SC-1, SC-3</t>
  </si>
  <si>
    <t xml:space="preserve">Target checksum, audit record</t>
  </si>
  <si>
    <t xml:space="preserve">P2-TC-01</t>
  </si>
  <si>
    <t xml:space="preserve">P2-TC-02</t>
  </si>
  <si>
    <t xml:space="preserve">P2-TC-03</t>
  </si>
  <si>
    <t xml:space="preserve">P2-TC-04</t>
  </si>
  <si>
    <t xml:space="preserve">P2-TC-05</t>
  </si>
  <si>
    <t xml:space="preserve">P2-TC-06</t>
  </si>
  <si>
    <t xml:space="preserve">P2-TC-07</t>
  </si>
  <si>
    <t xml:space="preserve">P2-TC-08</t>
  </si>
  <si>
    <t xml:space="preserve">P2-TC-09</t>
  </si>
  <si>
    <t xml:space="preserve">P2-TC-10</t>
  </si>
  <si>
    <t xml:space="preserve">P2-TC-11</t>
  </si>
  <si>
    <t xml:space="preserve">P2-TC-12</t>
  </si>
  <si>
    <t xml:space="preserve">P2-TC-13</t>
  </si>
  <si>
    <t xml:space="preserve">P2-TC-14</t>
  </si>
  <si>
    <t xml:space="preserve">P2-TC-15</t>
  </si>
  <si>
    <t xml:space="preserve">P3-TC-01</t>
  </si>
  <si>
    <t xml:space="preserve">P3-TC-02</t>
  </si>
  <si>
    <t xml:space="preserve">P3-TC-03</t>
  </si>
  <si>
    <t xml:space="preserve">P3-TC-04</t>
  </si>
  <si>
    <t xml:space="preserve">P3-TC-05</t>
  </si>
  <si>
    <t xml:space="preserve">P3-TC-06</t>
  </si>
  <si>
    <t xml:space="preserve">P3-TC-07</t>
  </si>
  <si>
    <t xml:space="preserve">P3-TC-08</t>
  </si>
  <si>
    <t xml:space="preserve">P3-TC-09</t>
  </si>
  <si>
    <t xml:space="preserve">P3-TC-10</t>
  </si>
  <si>
    <t xml:space="preserve">P3-TC-11</t>
  </si>
  <si>
    <t xml:space="preserve">P3-TC-12</t>
  </si>
  <si>
    <t xml:space="preserve">P3-TC-13</t>
  </si>
  <si>
    <t xml:space="preserve">P3-TC-14</t>
  </si>
  <si>
    <t xml:space="preserve">P3-TC-15</t>
  </si>
  <si>
    <t xml:space="preserve">P4-TC-01</t>
  </si>
  <si>
    <t xml:space="preserve">P4-TC-02</t>
  </si>
  <si>
    <t xml:space="preserve">P4-TC-03</t>
  </si>
  <si>
    <t xml:space="preserve">P4-TC-04</t>
  </si>
  <si>
    <t xml:space="preserve">P4-TC-05</t>
  </si>
  <si>
    <t xml:space="preserve">P4-TC-06</t>
  </si>
  <si>
    <t xml:space="preserve">P4-TC-07</t>
  </si>
  <si>
    <t xml:space="preserve">P4-TC-08</t>
  </si>
  <si>
    <t xml:space="preserve">P4-TC-09</t>
  </si>
  <si>
    <t xml:space="preserve">P4-TC-10</t>
  </si>
  <si>
    <t xml:space="preserve">P4-TC-11</t>
  </si>
  <si>
    <t xml:space="preserve">P4-TC-12</t>
  </si>
  <si>
    <t xml:space="preserve">P4-TC-13</t>
  </si>
  <si>
    <t xml:space="preserve">P4-TC-14</t>
  </si>
  <si>
    <t xml:space="preserve">P4-TC-15</t>
  </si>
  <si>
    <t xml:space="preserve">PL-01</t>
  </si>
  <si>
    <t xml:space="preserve">Platform</t>
  </si>
  <si>
    <t xml:space="preserve">Promote pattern configuration dev to test</t>
  </si>
  <si>
    <t xml:space="preserve">See scenario.</t>
  </si>
  <si>
    <t xml:space="preserve">Configuration in test matches dev with no re-keying.</t>
  </si>
  <si>
    <t xml:space="preserve">SC-6</t>
  </si>
  <si>
    <t xml:space="preserve">Promotion record, config export</t>
  </si>
  <si>
    <t xml:space="preserve">PL-02</t>
  </si>
  <si>
    <t xml:space="preserve">Roll back a promoted configuration</t>
  </si>
  <si>
    <t xml:space="preserve">Previous configuration restored, or gap recorded against G-13.</t>
  </si>
  <si>
    <t xml:space="preserve">Rollback record or gap entry</t>
  </si>
  <si>
    <t xml:space="preserve">PL-03</t>
  </si>
  <si>
    <t xml:space="preserve">Credentials not visible in configuration or logs</t>
  </si>
  <si>
    <t xml:space="preserve">No secrets in exports or logs; vault or interim control evidenced (G-14).</t>
  </si>
  <si>
    <t xml:space="preserve">SC-7</t>
  </si>
  <si>
    <t xml:space="preserve">Config export, log sample</t>
  </si>
  <si>
    <t xml:space="preserve">PL-04</t>
  </si>
  <si>
    <t xml:space="preserve">TLS version on every leg</t>
  </si>
  <si>
    <t xml:space="preserve">TLS 1.2 or higher on Pega, Boomi Cloud, Local Node and S3 legs.</t>
  </si>
  <si>
    <t xml:space="preserve">Connection test output</t>
  </si>
  <si>
    <t xml:space="preserve">PL-05</t>
  </si>
  <si>
    <t xml:space="preserve">Encryption at rest on S3</t>
  </si>
  <si>
    <t xml:space="preserve">Bucket encryption with the agreed KMS key.</t>
  </si>
  <si>
    <t xml:space="preserve">Bucket policy and encryption settings</t>
  </si>
  <si>
    <t xml:space="preserve">PL-06</t>
  </si>
  <si>
    <t xml:space="preserve">Least-privilege IAM for the Local Node</t>
  </si>
  <si>
    <t xml:space="preserve">Role can only read source and write target prefixes.</t>
  </si>
  <si>
    <t xml:space="preserve">IAM policy, denied-access test</t>
  </si>
  <si>
    <t xml:space="preserve">PL-07</t>
  </si>
  <si>
    <t xml:space="preserve">Audit extract for all MVP runs</t>
  </si>
  <si>
    <t xml:space="preserve">Every run has all SC-5 fields; export usable by an auditor.</t>
  </si>
  <si>
    <t xml:space="preserve">Audit export</t>
  </si>
  <si>
    <t xml:space="preserve">PL-08</t>
  </si>
  <si>
    <t xml:space="preserve">Role-based access in Boomi MFT</t>
  </si>
  <si>
    <t xml:space="preserve">Operator cannot change configuration; admin can.</t>
  </si>
  <si>
    <t xml:space="preserve">Access test record</t>
  </si>
  <si>
    <t xml:space="preserve">PL-09</t>
  </si>
  <si>
    <t xml:space="preserve">Alert routing reaches the agreed channel</t>
  </si>
  <si>
    <t xml:space="preserve">Alerts land in the channel within target time.</t>
  </si>
  <si>
    <t xml:space="preserve">Alert timestamps</t>
  </si>
  <si>
    <t xml:space="preserve">PL-10</t>
  </si>
  <si>
    <t xml:space="preserve">Runbook walk-through</t>
  </si>
  <si>
    <t xml:space="preserve">Support restarts, replays and investigates a quarantined file unaided.</t>
  </si>
  <si>
    <t xml:space="preserve">SC-8</t>
  </si>
  <si>
    <t xml:space="preserve">Walk-through record</t>
  </si>
  <si>
    <t xml:space="preserve">ID</t>
  </si>
  <si>
    <t xml:space="preserve">Criterion</t>
  </si>
  <si>
    <t xml:space="preserve">Source in v0.2</t>
  </si>
  <si>
    <t xml:space="preserve">Linked tests</t>
  </si>
  <si>
    <t xml:space="preserve">Passed or N/A</t>
  </si>
  <si>
    <t xml:space="preserve">Each of the four patterns completes a scheduled and an API-triggered transfer, and the target SHA-256 matches the source.</t>
  </si>
  <si>
    <t xml:space="preserve">Original 1</t>
  </si>
  <si>
    <t xml:space="preserve">Scheduled transfers run for at least five consecutive cycles per pattern with no manual intervention, and transfer history is visible end to end.</t>
  </si>
  <si>
    <t xml:space="preserve">Original 2</t>
  </si>
  <si>
    <t xml:space="preserve">Non-arrival, transfer failure, AV detection and AV service failure each raise an alert to the agreed channel within the agreed time (target 15 minutes, D-MVP-07).</t>
  </si>
  <si>
    <t xml:space="preserve">Original 3, split</t>
  </si>
  <si>
    <t xml:space="preserve">An infected, unscannable or oversize file is never delivered to any target.</t>
  </si>
  <si>
    <t xml:space="preserve">New</t>
  </si>
  <si>
    <t xml:space="preserve">Every transfer creates an audit record with source, destination, file name, size, SHA-256, start and end timestamps, outcome and correlation ID.</t>
  </si>
  <si>
    <t xml:space="preserve">Original 4</t>
  </si>
  <si>
    <t xml:space="preserve">Configuration is promoted from dev to test through the agreed mechanism with no manual re-keying; rollback is demonstrated or the gap is recorded against G-13.</t>
  </si>
  <si>
    <t xml:space="preserve">Security controls are evidenced: TLS 1.2 or higher on every leg, credentials held outside configuration (or the G-14 interim control recorded), least-privilege IAM on S3, encryption at rest.</t>
  </si>
  <si>
    <t xml:space="preserve">The support team can restart a failed transfer, replay a transfer and investigate a quarantined file using the draft runbook, without platform team help.</t>
  </si>
  <si>
    <t xml:space="preserve">Source</t>
  </si>
  <si>
    <t xml:space="preserve">Target</t>
  </si>
  <si>
    <t xml:space="preserve">Route</t>
  </si>
  <si>
    <t xml:space="preserve">Boundary</t>
  </si>
  <si>
    <t xml:space="preserve">AV</t>
  </si>
  <si>
    <t xml:space="preserve">What it proves</t>
  </si>
  <si>
    <t xml:space="preserve">P1</t>
  </si>
  <si>
    <t xml:space="preserve">External to external</t>
  </si>
  <si>
    <t xml:space="preserve">Pega LZ 1</t>
  </si>
  <si>
    <t xml:space="preserve">Pega LZ 2</t>
  </si>
  <si>
    <t xml:space="preserve">Pega LZ 1 &gt; Boomi MFT Cloud &gt; Pega LZ 2 (or via Local Node if AV must apply, D-MVP-01)</t>
  </si>
  <si>
    <t xml:space="preserve">Stays outside the internal estate unless routed through the Local Node</t>
  </si>
  <si>
    <t xml:space="preserve">Only if routed through the Local Node (D-MVP-01, D-MVP-05)</t>
  </si>
  <si>
    <t xml:space="preserve">SaaS to SaaS brokering without internal storage; partner-to-partner routing</t>
  </si>
  <si>
    <t xml:space="preserve">P2</t>
  </si>
  <si>
    <t xml:space="preserve">Internal to internal</t>
  </si>
  <si>
    <t xml:space="preserve">S3 bucket 1</t>
  </si>
  <si>
    <t xml:space="preserve">S3 bucket 2</t>
  </si>
  <si>
    <t xml:space="preserve">S3 bucket 1 &gt; Boomi MFT Local Node &gt; S3 bucket 2</t>
  </si>
  <si>
    <t xml:space="preserve">Inside the internal AWS boundary only</t>
  </si>
  <si>
    <t xml:space="preserve">Per policy (D-MVP-05)</t>
  </si>
  <si>
    <t xml:space="preserve">Internal movement, IAM least privilege, encryption at rest, scheduling</t>
  </si>
  <si>
    <t xml:space="preserve">P3</t>
  </si>
  <si>
    <t xml:space="preserve">External to internal</t>
  </si>
  <si>
    <t xml:space="preserve">Pega LZ 1 &gt; Boomi MFT Cloud &gt; Local Node &gt; AV scan &gt; S3 bucket 1</t>
  </si>
  <si>
    <t xml:space="preserve">Inbound trust boundary crossing</t>
  </si>
  <si>
    <t xml:space="preserve">Mandatory before the file lands internally</t>
  </si>
  <si>
    <t xml:space="preserve">Inbound boundary crossing, AV before landing, quarantine, firewall rules</t>
  </si>
  <si>
    <t xml:space="preserve">P4</t>
  </si>
  <si>
    <t xml:space="preserve">Internal to external</t>
  </si>
  <si>
    <t xml:space="preserve">S3 bucket 2 &gt; Local Node &gt; Boomi MFT Cloud &gt; Pega LZ 2</t>
  </si>
  <si>
    <t xml:space="preserve">Outbound trust boundary crossing</t>
  </si>
  <si>
    <t xml:space="preserve">Per policy for outbound (D-MVP-05)</t>
  </si>
  <si>
    <t xml:space="preserve">Outbound egress controls, data classification check, partner delivery</t>
  </si>
  <si>
    <t xml:space="preserve">Section</t>
  </si>
  <si>
    <t xml:space="preserve">Severity</t>
  </si>
  <si>
    <t xml:space="preserve">Finding</t>
  </si>
  <si>
    <t xml:space="preserve">Recommendation</t>
  </si>
  <si>
    <t xml:space="preserve">Author response</t>
  </si>
  <si>
    <t xml:space="preserve">F-01</t>
  </si>
  <si>
    <t xml:space="preserve">Document control</t>
  </si>
  <si>
    <t xml:space="preserve">Still v0.2 dated 9 September 2026. The scope change from the earlier single-feed candidate to four platform patterns is not recorded.</t>
  </si>
  <si>
    <t xml:space="preserve">Issue v0.3 dated 20 October 2026 with a one-line change note, and record the scope change as a decision with a named owner.</t>
  </si>
  <si>
    <t xml:space="preserve">Open</t>
  </si>
  <si>
    <t xml:space="preserve">F-02</t>
  </si>
  <si>
    <t xml:space="preserve">1. Objective</t>
  </si>
  <si>
    <t xml:space="preserve">Objective repeats the proposition and has nothing measurable.</t>
  </si>
  <si>
    <t xml:space="preserve">Tie it to the four patterns and both trust-boundary directions, and point to the success criteria.</t>
  </si>
  <si>
    <t xml:space="preserve">F-03</t>
  </si>
  <si>
    <t xml:space="preserve">2. Chosen use case</t>
  </si>
  <si>
    <t xml:space="preserve">'Non-Live/Non-Prod interface' suggests a single named interface, which no longer applies.</t>
  </si>
  <si>
    <t xml:space="preserve">Use 'Non-production environment; four platform transfer patterns; no live interface'.</t>
  </si>
  <si>
    <t xml:space="preserve">F-04</t>
  </si>
  <si>
    <t xml:space="preserve">External landing zone gives no access method, tenant or count. Pattern 1 needs two distinct external locations.</t>
  </si>
  <si>
    <t xml:space="preserve">Name Pega LZ 1 and Pega LZ 2, state the access protocol (to confirm, D-MVP-02) and the owner.</t>
  </si>
  <si>
    <t xml:space="preserve">F-05</t>
  </si>
  <si>
    <t xml:space="preserve">2. Chosen use case and 7</t>
  </si>
  <si>
    <t xml:space="preserve">Internal landing zone is a single 'S3 bucket'. Pattern 2 needs a separate source and target.</t>
  </si>
  <si>
    <t xml:space="preserve">Name S3 bucket 1 and S3 bucket 2 (or two prefixes with separate IAM policies, D-MVP-03).</t>
  </si>
  <si>
    <t xml:space="preserve">F-06</t>
  </si>
  <si>
    <t xml:space="preserve">Diagram</t>
  </si>
  <si>
    <t xml:space="preserve">Both Pega boxes are labelled 'Landing Zone 1' and both buckets 'S3 bucket 1', so Patterns 1 and 2 read as transfers into the same place.</t>
  </si>
  <si>
    <t xml:space="preserve">Relabel as Pega LZ 1, Pega LZ 2, S3 bucket 1, S3 bucket 2.</t>
  </si>
  <si>
    <t xml:space="preserve">F-07</t>
  </si>
  <si>
    <t xml:space="preserve">Dashed pattern lines run endpoint to endpoint and bypass Boomi. Solid lines only point towards Boomi MFT Cloud, so outbound routes (P1, P4) are not shown.</t>
  </si>
  <si>
    <t xml:space="preserve">Show the physical route through Boomi for each pattern, with a legend separating route from pattern. See the corrected diagram.</t>
  </si>
  <si>
    <t xml:space="preserve">F-08</t>
  </si>
  <si>
    <t xml:space="preserve">Diagram and 5</t>
  </si>
  <si>
    <t xml:space="preserve">The note does not say which runtime runs each pattern. If P1 runs on Boomi MFT Cloud alone, the file never reaches the internally hosted AV and passes through Boomi-hosted infrastructure.</t>
  </si>
  <si>
    <t xml:space="preserve">Add decision D-MVP-01 (runtime per pattern and where AV runs). State the data classification position for any cloud-only route.</t>
  </si>
  <si>
    <t xml:space="preserve">F-09</t>
  </si>
  <si>
    <t xml:space="preserve">3. What the MVP will prove</t>
  </si>
  <si>
    <t xml:space="preserve">AV appears in both columns; 'Monitoring and alerting failure' does not read; scheduling, API trigger and CI/CD (all in scope) are missing.</t>
  </si>
  <si>
    <t xml:space="preserve">Restructure into four themes: secure transfer, operability, repeatable delivery, audit and governance.</t>
  </si>
  <si>
    <t xml:space="preserve">F-10</t>
  </si>
  <si>
    <t xml:space="preserve">4. Scope boundaries</t>
  </si>
  <si>
    <t xml:space="preserve">'Redesign of the retained downstream job chain' belongs to the earlier single-feed candidate and has no meaning for platform patterns.</t>
  </si>
  <si>
    <t xml:space="preserve">Remove it.</t>
  </si>
  <si>
    <t xml:space="preserve">F-11</t>
  </si>
  <si>
    <t xml:space="preserve">Out of scope list omits items reviewers will ask about: live data, performance and volume, HA and DR failover, payload encryption (PGP), production go-live.</t>
  </si>
  <si>
    <t xml:space="preserve">Add them explicitly, or move any you want tested into scope (D-MVP-10 for PGP).</t>
  </si>
  <si>
    <t xml:space="preserve">F-12</t>
  </si>
  <si>
    <t xml:space="preserve">API-triggered transfer is in scope but no caller or authentication is named.</t>
  </si>
  <si>
    <t xml:space="preserve">Name the test client (for example a Postman collection against the Boomi API) and its auth method (D-MVP-09).</t>
  </si>
  <si>
    <t xml:space="preserve">F-13</t>
  </si>
  <si>
    <t xml:space="preserve">4 and 6</t>
  </si>
  <si>
    <t xml:space="preserve">CI/CD promotion is in scope, but there is no native pipeline for MFT configuration (G-13) and no success criterion for it.</t>
  </si>
  <si>
    <t xml:space="preserve">Add SC-6: promote dev to test through the agreed mechanism with no re-keying; demonstrate rollback or record the gap (D-MVP-06).</t>
  </si>
  <si>
    <t xml:space="preserve">F-14</t>
  </si>
  <si>
    <t xml:space="preserve">5. Dependencies and decisions</t>
  </si>
  <si>
    <t xml:space="preserve">Heading promises decisions but none are listed, and none have owners.</t>
  </si>
  <si>
    <t xml:space="preserve">Add a decisions table with owner roles (D-MVP-01 to D-MVP-11).</t>
  </si>
  <si>
    <t xml:space="preserve">F-15</t>
  </si>
  <si>
    <t xml:space="preserve">Missing dependencies: Pega side allow-listing of Boomi egress IPs and accounts, AWS IAM and KMS, credential storage (G-14), alert destination, MFT entitlement in non-production, security approval to connect non-production to external SaaS.</t>
  </si>
  <si>
    <t xml:space="preserve">Add them as numbered dependencies with owners.</t>
  </si>
  <si>
    <t xml:space="preserve">F-16</t>
  </si>
  <si>
    <t xml:space="preserve">5. Item 3</t>
  </si>
  <si>
    <t xml:space="preserve">Sentence does not parse: 'test files confirmed file naming rules and confirmation of the data classification'.</t>
  </si>
  <si>
    <t xml:space="preserve">'Representative or synthetic test files agreed, with file naming rules and data classification confirmed.'</t>
  </si>
  <si>
    <t xml:space="preserve">F-17</t>
  </si>
  <si>
    <t xml:space="preserve">6. Success criteria</t>
  </si>
  <si>
    <t xml:space="preserve">'Proven' is not defined, so criterion 1 cannot be signed off.</t>
  </si>
  <si>
    <t xml:space="preserve">Define pass per pattern: scheduled and API run, target SHA-256 equals source, audit record complete.</t>
  </si>
  <si>
    <t xml:space="preserve">F-18</t>
  </si>
  <si>
    <t xml:space="preserve">Negative-path testing is in scope but only three alerts are listed. No criterion that an infected or unscannable file is never delivered.</t>
  </si>
  <si>
    <t xml:space="preserve">Add SC-4 and use the test catalogue (EICAR file, AV unavailable, target down, oversize file above the AV limit G-15, zero-byte, duplicate, bad name).</t>
  </si>
  <si>
    <t xml:space="preserve">F-19</t>
  </si>
  <si>
    <t xml:space="preserve">'Scan failure' could mean an infected file or a scanner fault. Both need testing and the behaviour differs.</t>
  </si>
  <si>
    <t xml:space="preserve">Split into AV detection (quarantine) and AV service failure (fail closed).</t>
  </si>
  <si>
    <t xml:space="preserve">F-20</t>
  </si>
  <si>
    <t xml:space="preserve">Security controls are in scope with no measurable criterion.</t>
  </si>
  <si>
    <t xml:space="preserve">Add SC-7: TLS 1.2 or higher on every leg, credentials outside configuration, least-privilege IAM, encryption at rest.</t>
  </si>
  <si>
    <t xml:space="preserve">F-21</t>
  </si>
  <si>
    <t xml:space="preserve">No measure for alert timeliness or for scheduling robustness.</t>
  </si>
  <si>
    <t xml:space="preserve">Set a target (for example alert within 15 minutes, five consecutive scheduled runs per pattern), to confirm under D-MVP-07.</t>
  </si>
  <si>
    <t xml:space="preserve">F-22</t>
  </si>
  <si>
    <t xml:space="preserve">7. Definition of done</t>
  </si>
  <si>
    <t xml:space="preserve">No evidence pack, sign-off authority or gap treatment is named.</t>
  </si>
  <si>
    <t xml:space="preserve">List the evidence pack, the sign-off roles and the rule that unmet criteria need an accepted gap with an owner.</t>
  </si>
  <si>
    <t xml:space="preserve">F-23</t>
  </si>
  <si>
    <t xml:space="preserve">'Operational support capabilities' are not defined anywhere else in the note.</t>
  </si>
  <si>
    <t xml:space="preserve">Name the runbook, alert routing and support walk-through (SC-8).</t>
  </si>
  <si>
    <t xml:space="preserve">F-24</t>
  </si>
  <si>
    <t xml:space="preserve">Not covered</t>
  </si>
  <si>
    <t xml:space="preserve">Post-transfer handling of the source file (delete, archive, keep) is not stated.</t>
  </si>
  <si>
    <t xml:space="preserve">Decide per pattern (D-MVP-08) and test it.</t>
  </si>
  <si>
    <t xml:space="preserve">F-25</t>
  </si>
  <si>
    <t xml:space="preserve">No timeline, roles or risks. Readers cannot judge readiness or effort.</t>
  </si>
  <si>
    <t xml:space="preserve">Add a short timeline, owner roles and the top risks (sections 8 and 9 of the redraft).</t>
  </si>
  <si>
    <t xml:space="preserve">F-26</t>
  </si>
  <si>
    <t xml:space="preserve">Header and footer</t>
  </si>
  <si>
    <t xml:space="preserve">Classification marking appears twice in the footer and once in the header.</t>
  </si>
  <si>
    <t xml:space="preserve">Keep one marking in the header and one in the footer, per your document standard.</t>
  </si>
  <si>
    <t xml:space="preserve">Decision required</t>
  </si>
  <si>
    <t xml:space="preserve">Owner role</t>
  </si>
  <si>
    <t xml:space="preserve">Outcome</t>
  </si>
  <si>
    <t xml:space="preserve">Date</t>
  </si>
  <si>
    <t xml:space="preserve">D-MVP-01</t>
  </si>
  <si>
    <t xml:space="preserve">Runtime that executes each pattern (Boomi MFT Cloud or Local Node) and where AV scanning happens for each.</t>
  </si>
  <si>
    <t xml:space="preserve">Boomi Platform Owner with Security Architect</t>
  </si>
  <si>
    <t xml:space="preserve">D-MVP-02</t>
  </si>
  <si>
    <t xml:space="preserve">Pega landing zone access method, accounts and keys, and confirmation that two distinct zones are available.</t>
  </si>
  <si>
    <t xml:space="preserve">Pega Landing Zone Owner</t>
  </si>
  <si>
    <t xml:space="preserve">D-MVP-03</t>
  </si>
  <si>
    <t xml:space="preserve">Internal S3 layout (two buckets or two prefixes), IAM roles and KMS keys for the Local Node.</t>
  </si>
  <si>
    <t xml:space="preserve">AWS Platform Owner</t>
  </si>
  <si>
    <t xml:space="preserve">D-MVP-04</t>
  </si>
  <si>
    <t xml:space="preserve">Credential storage for non-production: vault or PAM, or an interim control (G-14).</t>
  </si>
  <si>
    <t xml:space="preserve">Security Architect</t>
  </si>
  <si>
    <t xml:space="preserve">D-MVP-05</t>
  </si>
  <si>
    <t xml:space="preserve">AV policy per pattern, maximum test file size against the AV limit (G-15, about 250 MB) and the behaviour for oversize files.</t>
  </si>
  <si>
    <t xml:space="preserve">D-MVP-06</t>
  </si>
  <si>
    <t xml:space="preserve">Configuration promotion mechanism for dev to test and how rollback is evidenced (G-13).</t>
  </si>
  <si>
    <t xml:space="preserve">Boomi Platform Owner</t>
  </si>
  <si>
    <t xml:space="preserve">D-MVP-07</t>
  </si>
  <si>
    <t xml:space="preserve">Alert channel for the MVP (email or Teams versus ServiceNow) and the alert response target.</t>
  </si>
  <si>
    <t xml:space="preserve">Service Management Lead</t>
  </si>
  <si>
    <t xml:space="preserve">D-MVP-08</t>
  </si>
  <si>
    <t xml:space="preserve">Post-transfer handling of the source file (delete, archive or keep) and the retention period.</t>
  </si>
  <si>
    <t xml:space="preserve">Integration Architect</t>
  </si>
  <si>
    <t xml:space="preserve">D-MVP-09</t>
  </si>
  <si>
    <t xml:space="preserve">API trigger client and its authentication method.</t>
  </si>
  <si>
    <t xml:space="preserve">D-MVP-10</t>
  </si>
  <si>
    <t xml:space="preserve">Whether payload encryption (PGP) is in or out of MVP scope.</t>
  </si>
  <si>
    <t xml:space="preserve">D-MVP-11</t>
  </si>
  <si>
    <t xml:space="preserve">Sign-off authority for the evidence pack and the forum that receives the adoption recommendation.</t>
  </si>
  <si>
    <t xml:space="preserve">Design Authority Chair</t>
  </si>
  <si>
    <t xml:space="preserve">Dependency</t>
  </si>
  <si>
    <t xml:space="preserve">Due</t>
  </si>
  <si>
    <t xml:space="preserve">DEP-01</t>
  </si>
  <si>
    <t xml:space="preserve">Boomi MFT runtimes available in non-production: Boomi MFT Cloud tenant and internally hosted Local Node, with AV (MDE) enabled.</t>
  </si>
  <si>
    <t xml:space="preserve">DEP-02</t>
  </si>
  <si>
    <t xml:space="preserve">End-to-end connectivity: firewall and allow-list rules for Local Node to Boomi MFT Cloud, and Boomi egress IPs allow-listed on the Pega side.</t>
  </si>
  <si>
    <t xml:space="preserve">Infrastructure Lead</t>
  </si>
  <si>
    <t xml:space="preserve">DEP-03</t>
  </si>
  <si>
    <t xml:space="preserve">Two Pega landing zones with accounts and keys for Boomi.</t>
  </si>
  <si>
    <t xml:space="preserve">DEP-04</t>
  </si>
  <si>
    <t xml:space="preserve">Two S3 locations with IAM roles and KMS keys granted to the Local Node.</t>
  </si>
  <si>
    <t xml:space="preserve">DEP-05</t>
  </si>
  <si>
    <t xml:space="preserve">Representative or synthetic test files agreed, with file naming rules and data classification confirmed (including whether the data may be held in external SaaS).</t>
  </si>
  <si>
    <t xml:space="preserve">Integration Architect with Data Owner</t>
  </si>
  <si>
    <t xml:space="preserve">DEP-06</t>
  </si>
  <si>
    <t xml:space="preserve">Credential storage arrangement agreed (D-MVP-04).</t>
  </si>
  <si>
    <t xml:space="preserve">DEP-07</t>
  </si>
  <si>
    <t xml:space="preserve">Alert destination set up and reachable (D-MVP-07).</t>
  </si>
  <si>
    <t xml:space="preserve">DEP-08</t>
  </si>
  <si>
    <t xml:space="preserve">Security approval to connect non-production to external SaaS.</t>
  </si>
  <si>
    <t xml:space="preserve">Risk</t>
  </si>
  <si>
    <t xml:space="preserve">Impact / Likelihood</t>
  </si>
  <si>
    <t xml:space="preserve">Mitigation</t>
  </si>
  <si>
    <t xml:space="preserve">R-MVP-01</t>
  </si>
  <si>
    <t xml:space="preserve">Firewall and allow-list lead times delay P3 and P4.</t>
  </si>
  <si>
    <t xml:space="preserve">High / High</t>
  </si>
  <si>
    <t xml:space="preserve">Raise change requests at note sign-off; test connectivity first.</t>
  </si>
  <si>
    <t xml:space="preserve">R-MVP-02</t>
  </si>
  <si>
    <t xml:space="preserve">P1 routed through Boomi MFT Cloud bypasses internal AV; files above about 250 MB cannot be scanned (G-15).</t>
  </si>
  <si>
    <t xml:space="preserve">High / Medium</t>
  </si>
  <si>
    <t xml:space="preserve">Settle D-MVP-01 and D-MVP-05 before build; keep test files under the limit plus one oversize negative test.</t>
  </si>
  <si>
    <t xml:space="preserve">R-MVP-03</t>
  </si>
  <si>
    <t xml:space="preserve">No native CI/CD for MFT configuration (G-13), so SC-6 may not be met.</t>
  </si>
  <si>
    <t xml:space="preserve">Medium / High</t>
  </si>
  <si>
    <t xml:space="preserve">Agree the mechanism under D-MVP-06; record the gap if rollback cannot be shown.</t>
  </si>
  <si>
    <t xml:space="preserve">R-MVP-04</t>
  </si>
  <si>
    <t xml:space="preserve">No native PAM integration (G-14) leads to manual credential handling.</t>
  </si>
  <si>
    <t xml:space="preserve">Interim controlled process with audit; record in the evidence pack.</t>
  </si>
  <si>
    <t xml:space="preserve">R-MVP-05</t>
  </si>
  <si>
    <t xml:space="preserve">Pega landing zone access (two zones, accounts, keys) arrives late.</t>
  </si>
  <si>
    <t xml:space="preserve">Medium / Medium</t>
  </si>
  <si>
    <t xml:space="preserve">Confirm D-MVP-02 in week 0; P2 can start without it.</t>
  </si>
  <si>
    <t xml:space="preserve">R-MVP-06</t>
  </si>
  <si>
    <t xml:space="preserve">External SaaS may not accept representative data.</t>
  </si>
  <si>
    <t xml:space="preserve">Default to synthetic files for P1, P3 and P4.</t>
  </si>
  <si>
    <t xml:space="preserve">R-MVP-07</t>
  </si>
  <si>
    <t xml:space="preserve">ServiceNow and Dynatrace are out of scope, so operational readiness is shown by email or Teams alerts only.</t>
  </si>
  <si>
    <t xml:space="preserve">Low / High</t>
  </si>
  <si>
    <t xml:space="preserve">State this limit in the recommendation.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</si>
</sst>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304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30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30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23.8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customFormat="false" ht="15" hidden="false" customHeight="false" outlineLevel="0" collapsed="false">
      <c r="A2" s="5" t="s">
        <v>23</v>
      </c>
      <c r="B2" s="5" t="n">
        <f aca="false">COUNTIF('Test catalogue'!$B$2:$B$71,A2)</f>
        <v>15</v>
      </c>
      <c r="C2" s="5" t="n">
        <f aca="false">COUNTIFS('Test catalogue'!$B$2:$B$71,$A2,'Test catalogue'!$J$2:$J$71,"Passed")</f>
        <v>0</v>
      </c>
      <c r="D2" s="5" t="n">
        <f aca="false">COUNTIFS('Test catalogue'!$B$2:$B$71,$A2,'Test catalogue'!$J$2:$J$71,"Failed")</f>
        <v>0</v>
      </c>
      <c r="E2" s="5" t="n">
        <f aca="false">COUNTIFS('Test catalogue'!$B$2:$B$71,$A2,'Test catalogue'!$J$2:$J$71,"Blocked")</f>
        <v>0</v>
      </c>
      <c r="F2" s="5" t="n">
        <f aca="false">COUNTIFS('Test catalogue'!$B$2:$B$71,$A2,'Test catalogue'!$J$2:$J$71,"Not applicable")</f>
        <v>0</v>
      </c>
      <c r="G2" s="5" t="n">
        <f aca="false">COUNTIFS('Test catalogue'!$B$2:$B$71,$A2,'Test catalogue'!$J$2:$J$71,"Not run")</f>
        <v>15</v>
      </c>
      <c r="H2" s="6" t="n">
        <f aca="false">IF(B2=0,0,(C2+F2)/B2)</f>
        <v>0</v>
      </c>
    </row>
    <row r="3" customFormat="false" ht="15" hidden="false" customHeight="false" outlineLevel="0" collapsed="false">
      <c r="A3" s="5" t="s">
        <v>24</v>
      </c>
      <c r="B3" s="5" t="n">
        <f aca="false">COUNTIF('Test catalogue'!$B$2:$B$71,A3)</f>
        <v>15</v>
      </c>
      <c r="C3" s="5" t="n">
        <f aca="false">COUNTIFS('Test catalogue'!$B$2:$B$71,$A3,'Test catalogue'!$J$2:$J$71,"Passed")</f>
        <v>0</v>
      </c>
      <c r="D3" s="5" t="n">
        <f aca="false">COUNTIFS('Test catalogue'!$B$2:$B$71,$A3,'Test catalogue'!$J$2:$J$71,"Failed")</f>
        <v>0</v>
      </c>
      <c r="E3" s="5" t="n">
        <f aca="false">COUNTIFS('Test catalogue'!$B$2:$B$71,$A3,'Test catalogue'!$J$2:$J$71,"Blocked")</f>
        <v>0</v>
      </c>
      <c r="F3" s="5" t="n">
        <f aca="false">COUNTIFS('Test catalogue'!$B$2:$B$71,$A3,'Test catalogue'!$J$2:$J$71,"Not applicable")</f>
        <v>0</v>
      </c>
      <c r="G3" s="5" t="n">
        <f aca="false">COUNTIFS('Test catalogue'!$B$2:$B$71,$A3,'Test catalogue'!$J$2:$J$71,"Not run")</f>
        <v>15</v>
      </c>
      <c r="H3" s="6" t="n">
        <f aca="false">IF(B3=0,0,(C3+F3)/B3)</f>
        <v>0</v>
      </c>
    </row>
    <row r="4" customFormat="false" ht="15" hidden="false" customHeight="false" outlineLevel="0" collapsed="false">
      <c r="A4" s="5" t="s">
        <v>25</v>
      </c>
      <c r="B4" s="5" t="n">
        <f aca="false">COUNTIF('Test catalogue'!$B$2:$B$71,A4)</f>
        <v>15</v>
      </c>
      <c r="C4" s="5" t="n">
        <f aca="false">COUNTIFS('Test catalogue'!$B$2:$B$71,$A4,'Test catalogue'!$J$2:$J$71,"Passed")</f>
        <v>0</v>
      </c>
      <c r="D4" s="5" t="n">
        <f aca="false">COUNTIFS('Test catalogue'!$B$2:$B$71,$A4,'Test catalogue'!$J$2:$J$71,"Failed")</f>
        <v>0</v>
      </c>
      <c r="E4" s="5" t="n">
        <f aca="false">COUNTIFS('Test catalogue'!$B$2:$B$71,$A4,'Test catalogue'!$J$2:$J$71,"Blocked")</f>
        <v>0</v>
      </c>
      <c r="F4" s="5" t="n">
        <f aca="false">COUNTIFS('Test catalogue'!$B$2:$B$71,$A4,'Test catalogue'!$J$2:$J$71,"Not applicable")</f>
        <v>0</v>
      </c>
      <c r="G4" s="5" t="n">
        <f aca="false">COUNTIFS('Test catalogue'!$B$2:$B$71,$A4,'Test catalogue'!$J$2:$J$71,"Not run")</f>
        <v>15</v>
      </c>
      <c r="H4" s="6" t="n">
        <f aca="false">IF(B4=0,0,(C4+F4)/B4)</f>
        <v>0</v>
      </c>
    </row>
    <row r="5" customFormat="false" ht="15" hidden="false" customHeight="false" outlineLevel="0" collapsed="false">
      <c r="A5" s="5" t="s">
        <v>26</v>
      </c>
      <c r="B5" s="5" t="n">
        <f aca="false">COUNTIF('Test catalogue'!$B$2:$B$71,A5)</f>
        <v>15</v>
      </c>
      <c r="C5" s="5" t="n">
        <f aca="false">COUNTIFS('Test catalogue'!$B$2:$B$71,$A5,'Test catalogue'!$J$2:$J$71,"Passed")</f>
        <v>0</v>
      </c>
      <c r="D5" s="5" t="n">
        <f aca="false">COUNTIFS('Test catalogue'!$B$2:$B$71,$A5,'Test catalogue'!$J$2:$J$71,"Failed")</f>
        <v>0</v>
      </c>
      <c r="E5" s="5" t="n">
        <f aca="false">COUNTIFS('Test catalogue'!$B$2:$B$71,$A5,'Test catalogue'!$J$2:$J$71,"Blocked")</f>
        <v>0</v>
      </c>
      <c r="F5" s="5" t="n">
        <f aca="false">COUNTIFS('Test catalogue'!$B$2:$B$71,$A5,'Test catalogue'!$J$2:$J$71,"Not applicable")</f>
        <v>0</v>
      </c>
      <c r="G5" s="5" t="n">
        <f aca="false">COUNTIFS('Test catalogue'!$B$2:$B$71,$A5,'Test catalogue'!$J$2:$J$71,"Not run")</f>
        <v>15</v>
      </c>
      <c r="H5" s="6" t="n">
        <f aca="false">IF(B5=0,0,(C5+F5)/B5)</f>
        <v>0</v>
      </c>
    </row>
    <row r="6" customFormat="false" ht="15" hidden="false" customHeight="false" outlineLevel="0" collapsed="false">
      <c r="A6" s="5" t="s">
        <v>27</v>
      </c>
      <c r="B6" s="5" t="n">
        <f aca="false">COUNTIF('Test catalogue'!$B$2:$B$71,A6)</f>
        <v>10</v>
      </c>
      <c r="C6" s="5" t="n">
        <f aca="false">COUNTIFS('Test catalogue'!$B$2:$B$71,$A6,'Test catalogue'!$J$2:$J$71,"Passed")</f>
        <v>0</v>
      </c>
      <c r="D6" s="5" t="n">
        <f aca="false">COUNTIFS('Test catalogue'!$B$2:$B$71,$A6,'Test catalogue'!$J$2:$J$71,"Failed")</f>
        <v>0</v>
      </c>
      <c r="E6" s="5" t="n">
        <f aca="false">COUNTIFS('Test catalogue'!$B$2:$B$71,$A6,'Test catalogue'!$J$2:$J$71,"Blocked")</f>
        <v>0</v>
      </c>
      <c r="F6" s="5" t="n">
        <f aca="false">COUNTIFS('Test catalogue'!$B$2:$B$71,$A6,'Test catalogue'!$J$2:$J$71,"Not applicable")</f>
        <v>0</v>
      </c>
      <c r="G6" s="5" t="n">
        <f aca="false">COUNTIFS('Test catalogue'!$B$2:$B$71,$A6,'Test catalogue'!$J$2:$J$71,"Not run")</f>
        <v>10</v>
      </c>
      <c r="H6" s="6" t="n">
        <f aca="false">IF(B6=0,0,(C6+F6)/B6)</f>
        <v>0</v>
      </c>
    </row>
    <row r="7" customFormat="false" ht="15" hidden="false" customHeight="false" outlineLevel="0" collapsed="false">
      <c r="A7" s="7" t="s">
        <v>28</v>
      </c>
      <c r="B7" s="7" t="n">
        <f aca="false">SUM(B2:B6)</f>
        <v>70</v>
      </c>
      <c r="C7" s="7" t="n">
        <f aca="false">SUM(C2:C6)</f>
        <v>0</v>
      </c>
      <c r="D7" s="7" t="n">
        <f aca="false">SUM(D2:D6)</f>
        <v>0</v>
      </c>
      <c r="E7" s="7" t="n">
        <f aca="false">SUM(E2:E6)</f>
        <v>0</v>
      </c>
      <c r="F7" s="7" t="n">
        <f aca="false">SUM(F2:F6)</f>
        <v>0</v>
      </c>
      <c r="G7" s="7" t="n">
        <f aca="false">SUM(G2:G6)</f>
        <v>70</v>
      </c>
      <c r="H7" s="8" t="n">
        <f aca="false">IF(B7=0,0,(C7+F7)/B7)</f>
        <v>0</v>
      </c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10" t="s">
        <v>29</v>
      </c>
      <c r="B9" s="10"/>
      <c r="C9" s="10"/>
      <c r="D9" s="10"/>
      <c r="E9" s="10"/>
      <c r="F9" s="10"/>
      <c r="G9" s="10"/>
      <c r="H9" s="10"/>
    </row>
    <row r="10" customFormat="false" ht="15" hidden="false" customHeight="false" outlineLevel="0" collapsed="false">
      <c r="A10" s="9" t="s">
        <v>30</v>
      </c>
      <c r="B10" s="9" t="n">
        <f aca="false">COUNTIF('Review findings'!$C$2:$C$27,A10)</f>
        <v>6</v>
      </c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 t="s">
        <v>31</v>
      </c>
      <c r="B11" s="9" t="n">
        <f aca="false">COUNTIF('Review findings'!$C$2:$C$27,A11)</f>
        <v>14</v>
      </c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 t="s">
        <v>32</v>
      </c>
      <c r="B12" s="9" t="n">
        <f aca="false">COUNTIF('Review findings'!$C$2:$C$27,A12)</f>
        <v>6</v>
      </c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 t="s">
        <v>33</v>
      </c>
      <c r="B13" s="9" t="n">
        <f aca="false">COUNTIF('Success criteria'!$F$2:$F$9,"Met")</f>
        <v>0</v>
      </c>
      <c r="C13" s="9"/>
      <c r="D13" s="9"/>
      <c r="E13" s="9"/>
      <c r="F13" s="9"/>
      <c r="G13" s="9"/>
      <c r="H1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4"/>
    <col collapsed="false" customWidth="true" hidden="false" outlineLevel="0" max="14" min="14" style="0" width="34"/>
  </cols>
  <sheetData>
    <row r="1" customFormat="false" ht="23.85" hidden="false" customHeight="false" outlineLevel="0" collapsed="false">
      <c r="A1" s="11" t="s">
        <v>34</v>
      </c>
      <c r="B1" s="11" t="s">
        <v>15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  <c r="L1" s="11" t="s">
        <v>44</v>
      </c>
      <c r="M1" s="11" t="s">
        <v>45</v>
      </c>
      <c r="N1" s="11" t="s">
        <v>46</v>
      </c>
    </row>
    <row r="2" customFormat="false" ht="23.85" hidden="false" customHeight="false" outlineLevel="0" collapsed="false">
      <c r="A2" s="12" t="s">
        <v>47</v>
      </c>
      <c r="B2" s="12" t="s">
        <v>23</v>
      </c>
      <c r="C2" s="12" t="s">
        <v>48</v>
      </c>
      <c r="D2" s="12" t="s">
        <v>49</v>
      </c>
      <c r="E2" s="12" t="s">
        <v>50</v>
      </c>
      <c r="F2" s="12" t="s">
        <v>51</v>
      </c>
      <c r="G2" s="12" t="s">
        <v>52</v>
      </c>
      <c r="H2" s="12" t="s">
        <v>53</v>
      </c>
      <c r="I2" s="12" t="s">
        <v>54</v>
      </c>
      <c r="J2" s="13" t="s">
        <v>21</v>
      </c>
      <c r="K2" s="13"/>
      <c r="L2" s="13"/>
      <c r="M2" s="13"/>
      <c r="N2" s="13"/>
    </row>
    <row r="3" customFormat="false" ht="23.85" hidden="false" customHeight="false" outlineLevel="0" collapsed="false">
      <c r="A3" s="12" t="s">
        <v>55</v>
      </c>
      <c r="B3" s="12" t="s">
        <v>23</v>
      </c>
      <c r="C3" s="12" t="s">
        <v>48</v>
      </c>
      <c r="D3" s="12" t="s">
        <v>56</v>
      </c>
      <c r="E3" s="12" t="s">
        <v>57</v>
      </c>
      <c r="F3" s="12" t="s">
        <v>58</v>
      </c>
      <c r="G3" s="12" t="s">
        <v>52</v>
      </c>
      <c r="H3" s="12" t="s">
        <v>59</v>
      </c>
      <c r="I3" s="12" t="s">
        <v>54</v>
      </c>
      <c r="J3" s="13" t="s">
        <v>21</v>
      </c>
      <c r="K3" s="13"/>
      <c r="L3" s="13"/>
      <c r="M3" s="13"/>
      <c r="N3" s="13"/>
    </row>
    <row r="4" customFormat="false" ht="15" hidden="false" customHeight="false" outlineLevel="0" collapsed="false">
      <c r="A4" s="12" t="s">
        <v>60</v>
      </c>
      <c r="B4" s="12" t="s">
        <v>23</v>
      </c>
      <c r="C4" s="12" t="s">
        <v>48</v>
      </c>
      <c r="D4" s="12" t="s">
        <v>61</v>
      </c>
      <c r="E4" s="12" t="s">
        <v>62</v>
      </c>
      <c r="F4" s="12" t="s">
        <v>63</v>
      </c>
      <c r="G4" s="12" t="s">
        <v>52</v>
      </c>
      <c r="H4" s="12" t="s">
        <v>64</v>
      </c>
      <c r="I4" s="12" t="s">
        <v>65</v>
      </c>
      <c r="J4" s="13" t="s">
        <v>21</v>
      </c>
      <c r="K4" s="13"/>
      <c r="L4" s="13"/>
      <c r="M4" s="13"/>
      <c r="N4" s="13"/>
    </row>
    <row r="5" customFormat="false" ht="23.85" hidden="false" customHeight="false" outlineLevel="0" collapsed="false">
      <c r="A5" s="12" t="s">
        <v>66</v>
      </c>
      <c r="B5" s="12" t="s">
        <v>23</v>
      </c>
      <c r="C5" s="12" t="s">
        <v>48</v>
      </c>
      <c r="D5" s="12" t="s">
        <v>67</v>
      </c>
      <c r="E5" s="12" t="s">
        <v>68</v>
      </c>
      <c r="F5" s="12" t="s">
        <v>69</v>
      </c>
      <c r="G5" s="12" t="s">
        <v>70</v>
      </c>
      <c r="H5" s="12" t="s">
        <v>71</v>
      </c>
      <c r="I5" s="12" t="s">
        <v>54</v>
      </c>
      <c r="J5" s="13" t="s">
        <v>21</v>
      </c>
      <c r="K5" s="13"/>
      <c r="L5" s="13"/>
      <c r="M5" s="13"/>
      <c r="N5" s="13"/>
    </row>
    <row r="6" customFormat="false" ht="23.85" hidden="false" customHeight="false" outlineLevel="0" collapsed="false">
      <c r="A6" s="12" t="s">
        <v>72</v>
      </c>
      <c r="B6" s="12" t="s">
        <v>23</v>
      </c>
      <c r="C6" s="12" t="s">
        <v>48</v>
      </c>
      <c r="D6" s="12" t="s">
        <v>73</v>
      </c>
      <c r="E6" s="12" t="s">
        <v>74</v>
      </c>
      <c r="F6" s="12" t="s">
        <v>75</v>
      </c>
      <c r="G6" s="12" t="s">
        <v>76</v>
      </c>
      <c r="H6" s="12" t="s">
        <v>77</v>
      </c>
      <c r="I6" s="12" t="s">
        <v>65</v>
      </c>
      <c r="J6" s="13" t="s">
        <v>21</v>
      </c>
      <c r="K6" s="13"/>
      <c r="L6" s="13"/>
      <c r="M6" s="13"/>
      <c r="N6" s="13"/>
    </row>
    <row r="7" customFormat="false" ht="23.85" hidden="false" customHeight="false" outlineLevel="0" collapsed="false">
      <c r="A7" s="12" t="s">
        <v>78</v>
      </c>
      <c r="B7" s="12" t="s">
        <v>23</v>
      </c>
      <c r="C7" s="12" t="s">
        <v>79</v>
      </c>
      <c r="D7" s="12" t="s">
        <v>80</v>
      </c>
      <c r="E7" s="12" t="s">
        <v>81</v>
      </c>
      <c r="F7" s="12" t="s">
        <v>82</v>
      </c>
      <c r="G7" s="12" t="s">
        <v>83</v>
      </c>
      <c r="H7" s="12" t="s">
        <v>84</v>
      </c>
      <c r="I7" s="12" t="s">
        <v>54</v>
      </c>
      <c r="J7" s="13" t="s">
        <v>21</v>
      </c>
      <c r="K7" s="13"/>
      <c r="L7" s="13"/>
      <c r="M7" s="13"/>
      <c r="N7" s="13" t="s">
        <v>85</v>
      </c>
    </row>
    <row r="8" customFormat="false" ht="23.85" hidden="false" customHeight="false" outlineLevel="0" collapsed="false">
      <c r="A8" s="12" t="s">
        <v>86</v>
      </c>
      <c r="B8" s="12" t="s">
        <v>23</v>
      </c>
      <c r="C8" s="12" t="s">
        <v>79</v>
      </c>
      <c r="D8" s="12" t="s">
        <v>87</v>
      </c>
      <c r="E8" s="12" t="s">
        <v>88</v>
      </c>
      <c r="F8" s="12" t="s">
        <v>89</v>
      </c>
      <c r="G8" s="12" t="s">
        <v>83</v>
      </c>
      <c r="H8" s="12" t="s">
        <v>90</v>
      </c>
      <c r="I8" s="12" t="s">
        <v>54</v>
      </c>
      <c r="J8" s="13" t="s">
        <v>21</v>
      </c>
      <c r="K8" s="13"/>
      <c r="L8" s="13"/>
      <c r="M8" s="13"/>
      <c r="N8" s="13" t="s">
        <v>85</v>
      </c>
    </row>
    <row r="9" customFormat="false" ht="23.85" hidden="false" customHeight="false" outlineLevel="0" collapsed="false">
      <c r="A9" s="12" t="s">
        <v>91</v>
      </c>
      <c r="B9" s="12" t="s">
        <v>23</v>
      </c>
      <c r="C9" s="12" t="s">
        <v>79</v>
      </c>
      <c r="D9" s="12" t="s">
        <v>92</v>
      </c>
      <c r="E9" s="12" t="s">
        <v>93</v>
      </c>
      <c r="F9" s="12" t="s">
        <v>94</v>
      </c>
      <c r="G9" s="12" t="s">
        <v>95</v>
      </c>
      <c r="H9" s="12" t="s">
        <v>96</v>
      </c>
      <c r="I9" s="12" t="s">
        <v>54</v>
      </c>
      <c r="J9" s="13" t="s">
        <v>21</v>
      </c>
      <c r="K9" s="13"/>
      <c r="L9" s="13"/>
      <c r="M9" s="13"/>
      <c r="N9" s="13"/>
    </row>
    <row r="10" customFormat="false" ht="23.85" hidden="false" customHeight="false" outlineLevel="0" collapsed="false">
      <c r="A10" s="12" t="s">
        <v>97</v>
      </c>
      <c r="B10" s="12" t="s">
        <v>23</v>
      </c>
      <c r="C10" s="12" t="s">
        <v>79</v>
      </c>
      <c r="D10" s="12" t="s">
        <v>98</v>
      </c>
      <c r="E10" s="12" t="s">
        <v>99</v>
      </c>
      <c r="F10" s="12" t="s">
        <v>100</v>
      </c>
      <c r="G10" s="12" t="s">
        <v>95</v>
      </c>
      <c r="H10" s="12" t="s">
        <v>101</v>
      </c>
      <c r="I10" s="12" t="s">
        <v>54</v>
      </c>
      <c r="J10" s="13" t="s">
        <v>21</v>
      </c>
      <c r="K10" s="13"/>
      <c r="L10" s="13"/>
      <c r="M10" s="13"/>
      <c r="N10" s="13"/>
    </row>
    <row r="11" customFormat="false" ht="23.85" hidden="false" customHeight="false" outlineLevel="0" collapsed="false">
      <c r="A11" s="12" t="s">
        <v>102</v>
      </c>
      <c r="B11" s="12" t="s">
        <v>23</v>
      </c>
      <c r="C11" s="12" t="s">
        <v>79</v>
      </c>
      <c r="D11" s="12" t="s">
        <v>103</v>
      </c>
      <c r="E11" s="12" t="s">
        <v>104</v>
      </c>
      <c r="F11" s="12" t="s">
        <v>105</v>
      </c>
      <c r="G11" s="12" t="s">
        <v>106</v>
      </c>
      <c r="H11" s="12" t="s">
        <v>107</v>
      </c>
      <c r="I11" s="12" t="s">
        <v>65</v>
      </c>
      <c r="J11" s="13" t="s">
        <v>21</v>
      </c>
      <c r="K11" s="13"/>
      <c r="L11" s="13"/>
      <c r="M11" s="13"/>
      <c r="N11" s="13"/>
    </row>
    <row r="12" customFormat="false" ht="23.85" hidden="false" customHeight="false" outlineLevel="0" collapsed="false">
      <c r="A12" s="12" t="s">
        <v>108</v>
      </c>
      <c r="B12" s="12" t="s">
        <v>23</v>
      </c>
      <c r="C12" s="12" t="s">
        <v>79</v>
      </c>
      <c r="D12" s="12" t="s">
        <v>109</v>
      </c>
      <c r="E12" s="12" t="s">
        <v>110</v>
      </c>
      <c r="F12" s="12" t="s">
        <v>111</v>
      </c>
      <c r="G12" s="12" t="s">
        <v>112</v>
      </c>
      <c r="H12" s="12" t="s">
        <v>107</v>
      </c>
      <c r="I12" s="12" t="s">
        <v>65</v>
      </c>
      <c r="J12" s="13" t="s">
        <v>21</v>
      </c>
      <c r="K12" s="13"/>
      <c r="L12" s="13"/>
      <c r="M12" s="13"/>
      <c r="N12" s="13"/>
    </row>
    <row r="13" customFormat="false" ht="23.85" hidden="false" customHeight="false" outlineLevel="0" collapsed="false">
      <c r="A13" s="12" t="s">
        <v>113</v>
      </c>
      <c r="B13" s="12" t="s">
        <v>23</v>
      </c>
      <c r="C13" s="12" t="s">
        <v>79</v>
      </c>
      <c r="D13" s="12" t="s">
        <v>114</v>
      </c>
      <c r="E13" s="12" t="s">
        <v>115</v>
      </c>
      <c r="F13" s="12" t="s">
        <v>116</v>
      </c>
      <c r="G13" s="12" t="s">
        <v>106</v>
      </c>
      <c r="H13" s="12" t="s">
        <v>117</v>
      </c>
      <c r="I13" s="12" t="s">
        <v>65</v>
      </c>
      <c r="J13" s="13" t="s">
        <v>21</v>
      </c>
      <c r="K13" s="13"/>
      <c r="L13" s="13"/>
      <c r="M13" s="13"/>
      <c r="N13" s="13"/>
    </row>
    <row r="14" customFormat="false" ht="23.85" hidden="false" customHeight="false" outlineLevel="0" collapsed="false">
      <c r="A14" s="12" t="s">
        <v>118</v>
      </c>
      <c r="B14" s="12" t="s">
        <v>23</v>
      </c>
      <c r="C14" s="12" t="s">
        <v>79</v>
      </c>
      <c r="D14" s="12" t="s">
        <v>119</v>
      </c>
      <c r="E14" s="12" t="s">
        <v>120</v>
      </c>
      <c r="F14" s="12" t="s">
        <v>121</v>
      </c>
      <c r="G14" s="12" t="s">
        <v>122</v>
      </c>
      <c r="H14" s="12" t="s">
        <v>90</v>
      </c>
      <c r="I14" s="12" t="s">
        <v>54</v>
      </c>
      <c r="J14" s="13" t="s">
        <v>21</v>
      </c>
      <c r="K14" s="13"/>
      <c r="L14" s="13"/>
      <c r="M14" s="13"/>
      <c r="N14" s="13" t="s">
        <v>85</v>
      </c>
    </row>
    <row r="15" customFormat="false" ht="23.85" hidden="false" customHeight="false" outlineLevel="0" collapsed="false">
      <c r="A15" s="12" t="s">
        <v>123</v>
      </c>
      <c r="B15" s="12" t="s">
        <v>23</v>
      </c>
      <c r="C15" s="12" t="s">
        <v>48</v>
      </c>
      <c r="D15" s="12" t="s">
        <v>124</v>
      </c>
      <c r="E15" s="12" t="s">
        <v>125</v>
      </c>
      <c r="F15" s="12" t="s">
        <v>126</v>
      </c>
      <c r="G15" s="12" t="s">
        <v>76</v>
      </c>
      <c r="H15" s="12" t="s">
        <v>127</v>
      </c>
      <c r="I15" s="12" t="s">
        <v>65</v>
      </c>
      <c r="J15" s="13" t="s">
        <v>21</v>
      </c>
      <c r="K15" s="13"/>
      <c r="L15" s="13"/>
      <c r="M15" s="13"/>
      <c r="N15" s="13"/>
    </row>
    <row r="16" customFormat="false" ht="23.85" hidden="false" customHeight="false" outlineLevel="0" collapsed="false">
      <c r="A16" s="12" t="s">
        <v>128</v>
      </c>
      <c r="B16" s="12" t="s">
        <v>23</v>
      </c>
      <c r="C16" s="12" t="s">
        <v>79</v>
      </c>
      <c r="D16" s="12" t="s">
        <v>129</v>
      </c>
      <c r="E16" s="12" t="s">
        <v>130</v>
      </c>
      <c r="F16" s="12" t="s">
        <v>131</v>
      </c>
      <c r="G16" s="12" t="s">
        <v>132</v>
      </c>
      <c r="H16" s="12" t="s">
        <v>133</v>
      </c>
      <c r="I16" s="12" t="s">
        <v>65</v>
      </c>
      <c r="J16" s="13" t="s">
        <v>21</v>
      </c>
      <c r="K16" s="13"/>
      <c r="L16" s="13"/>
      <c r="M16" s="13"/>
      <c r="N16" s="13"/>
    </row>
    <row r="17" customFormat="false" ht="23.85" hidden="false" customHeight="false" outlineLevel="0" collapsed="false">
      <c r="A17" s="12" t="s">
        <v>134</v>
      </c>
      <c r="B17" s="12" t="s">
        <v>24</v>
      </c>
      <c r="C17" s="12" t="s">
        <v>48</v>
      </c>
      <c r="D17" s="12" t="s">
        <v>49</v>
      </c>
      <c r="E17" s="12" t="s">
        <v>50</v>
      </c>
      <c r="F17" s="12" t="s">
        <v>51</v>
      </c>
      <c r="G17" s="12" t="s">
        <v>52</v>
      </c>
      <c r="H17" s="12" t="s">
        <v>53</v>
      </c>
      <c r="I17" s="12" t="s">
        <v>54</v>
      </c>
      <c r="J17" s="13" t="s">
        <v>21</v>
      </c>
      <c r="K17" s="13"/>
      <c r="L17" s="13"/>
      <c r="M17" s="13"/>
      <c r="N17" s="13"/>
    </row>
    <row r="18" customFormat="false" ht="23.85" hidden="false" customHeight="false" outlineLevel="0" collapsed="false">
      <c r="A18" s="12" t="s">
        <v>135</v>
      </c>
      <c r="B18" s="12" t="s">
        <v>24</v>
      </c>
      <c r="C18" s="12" t="s">
        <v>48</v>
      </c>
      <c r="D18" s="12" t="s">
        <v>56</v>
      </c>
      <c r="E18" s="12" t="s">
        <v>57</v>
      </c>
      <c r="F18" s="12" t="s">
        <v>58</v>
      </c>
      <c r="G18" s="12" t="s">
        <v>52</v>
      </c>
      <c r="H18" s="12" t="s">
        <v>59</v>
      </c>
      <c r="I18" s="12" t="s">
        <v>54</v>
      </c>
      <c r="J18" s="13" t="s">
        <v>21</v>
      </c>
      <c r="K18" s="13"/>
      <c r="L18" s="13"/>
      <c r="M18" s="13"/>
      <c r="N18" s="13"/>
    </row>
    <row r="19" customFormat="false" ht="15" hidden="false" customHeight="false" outlineLevel="0" collapsed="false">
      <c r="A19" s="12" t="s">
        <v>136</v>
      </c>
      <c r="B19" s="12" t="s">
        <v>24</v>
      </c>
      <c r="C19" s="12" t="s">
        <v>48</v>
      </c>
      <c r="D19" s="12" t="s">
        <v>61</v>
      </c>
      <c r="E19" s="12" t="s">
        <v>62</v>
      </c>
      <c r="F19" s="12" t="s">
        <v>63</v>
      </c>
      <c r="G19" s="12" t="s">
        <v>52</v>
      </c>
      <c r="H19" s="12" t="s">
        <v>64</v>
      </c>
      <c r="I19" s="12" t="s">
        <v>65</v>
      </c>
      <c r="J19" s="13" t="s">
        <v>21</v>
      </c>
      <c r="K19" s="13"/>
      <c r="L19" s="13"/>
      <c r="M19" s="13"/>
      <c r="N19" s="13"/>
    </row>
    <row r="20" customFormat="false" ht="23.85" hidden="false" customHeight="false" outlineLevel="0" collapsed="false">
      <c r="A20" s="12" t="s">
        <v>137</v>
      </c>
      <c r="B20" s="12" t="s">
        <v>24</v>
      </c>
      <c r="C20" s="12" t="s">
        <v>48</v>
      </c>
      <c r="D20" s="12" t="s">
        <v>67</v>
      </c>
      <c r="E20" s="12" t="s">
        <v>68</v>
      </c>
      <c r="F20" s="12" t="s">
        <v>69</v>
      </c>
      <c r="G20" s="12" t="s">
        <v>70</v>
      </c>
      <c r="H20" s="12" t="s">
        <v>71</v>
      </c>
      <c r="I20" s="12" t="s">
        <v>54</v>
      </c>
      <c r="J20" s="13" t="s">
        <v>21</v>
      </c>
      <c r="K20" s="13"/>
      <c r="L20" s="13"/>
      <c r="M20" s="13"/>
      <c r="N20" s="13"/>
    </row>
    <row r="21" customFormat="false" ht="23.85" hidden="false" customHeight="false" outlineLevel="0" collapsed="false">
      <c r="A21" s="12" t="s">
        <v>138</v>
      </c>
      <c r="B21" s="12" t="s">
        <v>24</v>
      </c>
      <c r="C21" s="12" t="s">
        <v>48</v>
      </c>
      <c r="D21" s="12" t="s">
        <v>73</v>
      </c>
      <c r="E21" s="12" t="s">
        <v>74</v>
      </c>
      <c r="F21" s="12" t="s">
        <v>75</v>
      </c>
      <c r="G21" s="12" t="s">
        <v>76</v>
      </c>
      <c r="H21" s="12" t="s">
        <v>77</v>
      </c>
      <c r="I21" s="12" t="s">
        <v>65</v>
      </c>
      <c r="J21" s="13" t="s">
        <v>21</v>
      </c>
      <c r="K21" s="13"/>
      <c r="L21" s="13"/>
      <c r="M21" s="13"/>
      <c r="N21" s="13"/>
    </row>
    <row r="22" customFormat="false" ht="23.85" hidden="false" customHeight="false" outlineLevel="0" collapsed="false">
      <c r="A22" s="12" t="s">
        <v>139</v>
      </c>
      <c r="B22" s="12" t="s">
        <v>24</v>
      </c>
      <c r="C22" s="12" t="s">
        <v>79</v>
      </c>
      <c r="D22" s="12" t="s">
        <v>80</v>
      </c>
      <c r="E22" s="12" t="s">
        <v>81</v>
      </c>
      <c r="F22" s="12" t="s">
        <v>82</v>
      </c>
      <c r="G22" s="12" t="s">
        <v>83</v>
      </c>
      <c r="H22" s="12" t="s">
        <v>84</v>
      </c>
      <c r="I22" s="12" t="s">
        <v>54</v>
      </c>
      <c r="J22" s="13" t="s">
        <v>21</v>
      </c>
      <c r="K22" s="13"/>
      <c r="L22" s="13"/>
      <c r="M22" s="13"/>
      <c r="N22" s="13" t="s">
        <v>85</v>
      </c>
    </row>
    <row r="23" customFormat="false" ht="23.85" hidden="false" customHeight="false" outlineLevel="0" collapsed="false">
      <c r="A23" s="12" t="s">
        <v>140</v>
      </c>
      <c r="B23" s="12" t="s">
        <v>24</v>
      </c>
      <c r="C23" s="12" t="s">
        <v>79</v>
      </c>
      <c r="D23" s="12" t="s">
        <v>87</v>
      </c>
      <c r="E23" s="12" t="s">
        <v>88</v>
      </c>
      <c r="F23" s="12" t="s">
        <v>89</v>
      </c>
      <c r="G23" s="12" t="s">
        <v>83</v>
      </c>
      <c r="H23" s="12" t="s">
        <v>90</v>
      </c>
      <c r="I23" s="12" t="s">
        <v>54</v>
      </c>
      <c r="J23" s="13" t="s">
        <v>21</v>
      </c>
      <c r="K23" s="13"/>
      <c r="L23" s="13"/>
      <c r="M23" s="13"/>
      <c r="N23" s="13" t="s">
        <v>85</v>
      </c>
    </row>
    <row r="24" customFormat="false" ht="23.85" hidden="false" customHeight="false" outlineLevel="0" collapsed="false">
      <c r="A24" s="12" t="s">
        <v>141</v>
      </c>
      <c r="B24" s="12" t="s">
        <v>24</v>
      </c>
      <c r="C24" s="12" t="s">
        <v>79</v>
      </c>
      <c r="D24" s="12" t="s">
        <v>92</v>
      </c>
      <c r="E24" s="12" t="s">
        <v>93</v>
      </c>
      <c r="F24" s="12" t="s">
        <v>94</v>
      </c>
      <c r="G24" s="12" t="s">
        <v>95</v>
      </c>
      <c r="H24" s="12" t="s">
        <v>96</v>
      </c>
      <c r="I24" s="12" t="s">
        <v>54</v>
      </c>
      <c r="J24" s="13" t="s">
        <v>21</v>
      </c>
      <c r="K24" s="13"/>
      <c r="L24" s="13"/>
      <c r="M24" s="13"/>
      <c r="N24" s="13"/>
    </row>
    <row r="25" customFormat="false" ht="23.85" hidden="false" customHeight="false" outlineLevel="0" collapsed="false">
      <c r="A25" s="12" t="s">
        <v>142</v>
      </c>
      <c r="B25" s="12" t="s">
        <v>24</v>
      </c>
      <c r="C25" s="12" t="s">
        <v>79</v>
      </c>
      <c r="D25" s="12" t="s">
        <v>98</v>
      </c>
      <c r="E25" s="12" t="s">
        <v>99</v>
      </c>
      <c r="F25" s="12" t="s">
        <v>100</v>
      </c>
      <c r="G25" s="12" t="s">
        <v>95</v>
      </c>
      <c r="H25" s="12" t="s">
        <v>101</v>
      </c>
      <c r="I25" s="12" t="s">
        <v>54</v>
      </c>
      <c r="J25" s="13" t="s">
        <v>21</v>
      </c>
      <c r="K25" s="13"/>
      <c r="L25" s="13"/>
      <c r="M25" s="13"/>
      <c r="N25" s="13"/>
    </row>
    <row r="26" customFormat="false" ht="23.85" hidden="false" customHeight="false" outlineLevel="0" collapsed="false">
      <c r="A26" s="12" t="s">
        <v>143</v>
      </c>
      <c r="B26" s="12" t="s">
        <v>24</v>
      </c>
      <c r="C26" s="12" t="s">
        <v>79</v>
      </c>
      <c r="D26" s="12" t="s">
        <v>103</v>
      </c>
      <c r="E26" s="12" t="s">
        <v>104</v>
      </c>
      <c r="F26" s="12" t="s">
        <v>105</v>
      </c>
      <c r="G26" s="12" t="s">
        <v>106</v>
      </c>
      <c r="H26" s="12" t="s">
        <v>107</v>
      </c>
      <c r="I26" s="12" t="s">
        <v>65</v>
      </c>
      <c r="J26" s="13" t="s">
        <v>21</v>
      </c>
      <c r="K26" s="13"/>
      <c r="L26" s="13"/>
      <c r="M26" s="13"/>
      <c r="N26" s="13"/>
    </row>
    <row r="27" customFormat="false" ht="23.85" hidden="false" customHeight="false" outlineLevel="0" collapsed="false">
      <c r="A27" s="12" t="s">
        <v>144</v>
      </c>
      <c r="B27" s="12" t="s">
        <v>24</v>
      </c>
      <c r="C27" s="12" t="s">
        <v>79</v>
      </c>
      <c r="D27" s="12" t="s">
        <v>109</v>
      </c>
      <c r="E27" s="12" t="s">
        <v>110</v>
      </c>
      <c r="F27" s="12" t="s">
        <v>111</v>
      </c>
      <c r="G27" s="12" t="s">
        <v>112</v>
      </c>
      <c r="H27" s="12" t="s">
        <v>107</v>
      </c>
      <c r="I27" s="12" t="s">
        <v>65</v>
      </c>
      <c r="J27" s="13" t="s">
        <v>21</v>
      </c>
      <c r="K27" s="13"/>
      <c r="L27" s="13"/>
      <c r="M27" s="13"/>
      <c r="N27" s="13"/>
    </row>
    <row r="28" customFormat="false" ht="23.85" hidden="false" customHeight="false" outlineLevel="0" collapsed="false">
      <c r="A28" s="12" t="s">
        <v>145</v>
      </c>
      <c r="B28" s="12" t="s">
        <v>24</v>
      </c>
      <c r="C28" s="12" t="s">
        <v>79</v>
      </c>
      <c r="D28" s="12" t="s">
        <v>114</v>
      </c>
      <c r="E28" s="12" t="s">
        <v>115</v>
      </c>
      <c r="F28" s="12" t="s">
        <v>116</v>
      </c>
      <c r="G28" s="12" t="s">
        <v>106</v>
      </c>
      <c r="H28" s="12" t="s">
        <v>117</v>
      </c>
      <c r="I28" s="12" t="s">
        <v>65</v>
      </c>
      <c r="J28" s="13" t="s">
        <v>21</v>
      </c>
      <c r="K28" s="13"/>
      <c r="L28" s="13"/>
      <c r="M28" s="13"/>
      <c r="N28" s="13"/>
    </row>
    <row r="29" customFormat="false" ht="23.85" hidden="false" customHeight="false" outlineLevel="0" collapsed="false">
      <c r="A29" s="12" t="s">
        <v>146</v>
      </c>
      <c r="B29" s="12" t="s">
        <v>24</v>
      </c>
      <c r="C29" s="12" t="s">
        <v>79</v>
      </c>
      <c r="D29" s="12" t="s">
        <v>119</v>
      </c>
      <c r="E29" s="12" t="s">
        <v>120</v>
      </c>
      <c r="F29" s="12" t="s">
        <v>121</v>
      </c>
      <c r="G29" s="12" t="s">
        <v>122</v>
      </c>
      <c r="H29" s="12" t="s">
        <v>90</v>
      </c>
      <c r="I29" s="12" t="s">
        <v>54</v>
      </c>
      <c r="J29" s="13" t="s">
        <v>21</v>
      </c>
      <c r="K29" s="13"/>
      <c r="L29" s="13"/>
      <c r="M29" s="13"/>
      <c r="N29" s="13" t="s">
        <v>85</v>
      </c>
    </row>
    <row r="30" customFormat="false" ht="23.85" hidden="false" customHeight="false" outlineLevel="0" collapsed="false">
      <c r="A30" s="12" t="s">
        <v>147</v>
      </c>
      <c r="B30" s="12" t="s">
        <v>24</v>
      </c>
      <c r="C30" s="12" t="s">
        <v>48</v>
      </c>
      <c r="D30" s="12" t="s">
        <v>124</v>
      </c>
      <c r="E30" s="12" t="s">
        <v>125</v>
      </c>
      <c r="F30" s="12" t="s">
        <v>126</v>
      </c>
      <c r="G30" s="12" t="s">
        <v>76</v>
      </c>
      <c r="H30" s="12" t="s">
        <v>127</v>
      </c>
      <c r="I30" s="12" t="s">
        <v>65</v>
      </c>
      <c r="J30" s="13" t="s">
        <v>21</v>
      </c>
      <c r="K30" s="13"/>
      <c r="L30" s="13"/>
      <c r="M30" s="13"/>
      <c r="N30" s="13"/>
    </row>
    <row r="31" customFormat="false" ht="23.85" hidden="false" customHeight="false" outlineLevel="0" collapsed="false">
      <c r="A31" s="12" t="s">
        <v>148</v>
      </c>
      <c r="B31" s="12" t="s">
        <v>24</v>
      </c>
      <c r="C31" s="12" t="s">
        <v>79</v>
      </c>
      <c r="D31" s="12" t="s">
        <v>129</v>
      </c>
      <c r="E31" s="12" t="s">
        <v>130</v>
      </c>
      <c r="F31" s="12" t="s">
        <v>131</v>
      </c>
      <c r="G31" s="12" t="s">
        <v>132</v>
      </c>
      <c r="H31" s="12" t="s">
        <v>133</v>
      </c>
      <c r="I31" s="12" t="s">
        <v>65</v>
      </c>
      <c r="J31" s="13" t="s">
        <v>21</v>
      </c>
      <c r="K31" s="13"/>
      <c r="L31" s="13"/>
      <c r="M31" s="13"/>
      <c r="N31" s="13"/>
    </row>
    <row r="32" customFormat="false" ht="23.85" hidden="false" customHeight="false" outlineLevel="0" collapsed="false">
      <c r="A32" s="12" t="s">
        <v>149</v>
      </c>
      <c r="B32" s="12" t="s">
        <v>25</v>
      </c>
      <c r="C32" s="12" t="s">
        <v>48</v>
      </c>
      <c r="D32" s="12" t="s">
        <v>49</v>
      </c>
      <c r="E32" s="12" t="s">
        <v>50</v>
      </c>
      <c r="F32" s="12" t="s">
        <v>51</v>
      </c>
      <c r="G32" s="12" t="s">
        <v>52</v>
      </c>
      <c r="H32" s="12" t="s">
        <v>53</v>
      </c>
      <c r="I32" s="12" t="s">
        <v>54</v>
      </c>
      <c r="J32" s="13" t="s">
        <v>21</v>
      </c>
      <c r="K32" s="13"/>
      <c r="L32" s="13"/>
      <c r="M32" s="13"/>
      <c r="N32" s="13"/>
    </row>
    <row r="33" customFormat="false" ht="23.85" hidden="false" customHeight="false" outlineLevel="0" collapsed="false">
      <c r="A33" s="12" t="s">
        <v>150</v>
      </c>
      <c r="B33" s="12" t="s">
        <v>25</v>
      </c>
      <c r="C33" s="12" t="s">
        <v>48</v>
      </c>
      <c r="D33" s="12" t="s">
        <v>56</v>
      </c>
      <c r="E33" s="12" t="s">
        <v>57</v>
      </c>
      <c r="F33" s="12" t="s">
        <v>58</v>
      </c>
      <c r="G33" s="12" t="s">
        <v>52</v>
      </c>
      <c r="H33" s="12" t="s">
        <v>59</v>
      </c>
      <c r="I33" s="12" t="s">
        <v>54</v>
      </c>
      <c r="J33" s="13" t="s">
        <v>21</v>
      </c>
      <c r="K33" s="13"/>
      <c r="L33" s="13"/>
      <c r="M33" s="13"/>
      <c r="N33" s="13"/>
    </row>
    <row r="34" customFormat="false" ht="15" hidden="false" customHeight="false" outlineLevel="0" collapsed="false">
      <c r="A34" s="12" t="s">
        <v>151</v>
      </c>
      <c r="B34" s="12" t="s">
        <v>25</v>
      </c>
      <c r="C34" s="12" t="s">
        <v>48</v>
      </c>
      <c r="D34" s="12" t="s">
        <v>61</v>
      </c>
      <c r="E34" s="12" t="s">
        <v>62</v>
      </c>
      <c r="F34" s="12" t="s">
        <v>63</v>
      </c>
      <c r="G34" s="12" t="s">
        <v>52</v>
      </c>
      <c r="H34" s="12" t="s">
        <v>64</v>
      </c>
      <c r="I34" s="12" t="s">
        <v>65</v>
      </c>
      <c r="J34" s="13" t="s">
        <v>21</v>
      </c>
      <c r="K34" s="13"/>
      <c r="L34" s="13"/>
      <c r="M34" s="13"/>
      <c r="N34" s="13"/>
    </row>
    <row r="35" customFormat="false" ht="23.85" hidden="false" customHeight="false" outlineLevel="0" collapsed="false">
      <c r="A35" s="12" t="s">
        <v>152</v>
      </c>
      <c r="B35" s="12" t="s">
        <v>25</v>
      </c>
      <c r="C35" s="12" t="s">
        <v>48</v>
      </c>
      <c r="D35" s="12" t="s">
        <v>67</v>
      </c>
      <c r="E35" s="12" t="s">
        <v>68</v>
      </c>
      <c r="F35" s="12" t="s">
        <v>69</v>
      </c>
      <c r="G35" s="12" t="s">
        <v>70</v>
      </c>
      <c r="H35" s="12" t="s">
        <v>71</v>
      </c>
      <c r="I35" s="12" t="s">
        <v>54</v>
      </c>
      <c r="J35" s="13" t="s">
        <v>21</v>
      </c>
      <c r="K35" s="13"/>
      <c r="L35" s="13"/>
      <c r="M35" s="13"/>
      <c r="N35" s="13"/>
    </row>
    <row r="36" customFormat="false" ht="23.85" hidden="false" customHeight="false" outlineLevel="0" collapsed="false">
      <c r="A36" s="12" t="s">
        <v>153</v>
      </c>
      <c r="B36" s="12" t="s">
        <v>25</v>
      </c>
      <c r="C36" s="12" t="s">
        <v>48</v>
      </c>
      <c r="D36" s="12" t="s">
        <v>73</v>
      </c>
      <c r="E36" s="12" t="s">
        <v>74</v>
      </c>
      <c r="F36" s="12" t="s">
        <v>75</v>
      </c>
      <c r="G36" s="12" t="s">
        <v>76</v>
      </c>
      <c r="H36" s="12" t="s">
        <v>77</v>
      </c>
      <c r="I36" s="12" t="s">
        <v>65</v>
      </c>
      <c r="J36" s="13" t="s">
        <v>21</v>
      </c>
      <c r="K36" s="13"/>
      <c r="L36" s="13"/>
      <c r="M36" s="13"/>
      <c r="N36" s="13"/>
    </row>
    <row r="37" customFormat="false" ht="23.85" hidden="false" customHeight="false" outlineLevel="0" collapsed="false">
      <c r="A37" s="12" t="s">
        <v>154</v>
      </c>
      <c r="B37" s="12" t="s">
        <v>25</v>
      </c>
      <c r="C37" s="12" t="s">
        <v>79</v>
      </c>
      <c r="D37" s="12" t="s">
        <v>80</v>
      </c>
      <c r="E37" s="12" t="s">
        <v>81</v>
      </c>
      <c r="F37" s="12" t="s">
        <v>82</v>
      </c>
      <c r="G37" s="12" t="s">
        <v>83</v>
      </c>
      <c r="H37" s="12" t="s">
        <v>84</v>
      </c>
      <c r="I37" s="12" t="s">
        <v>54</v>
      </c>
      <c r="J37" s="13" t="s">
        <v>21</v>
      </c>
      <c r="K37" s="13"/>
      <c r="L37" s="13"/>
      <c r="M37" s="13"/>
      <c r="N37" s="13"/>
    </row>
    <row r="38" customFormat="false" ht="23.85" hidden="false" customHeight="false" outlineLevel="0" collapsed="false">
      <c r="A38" s="12" t="s">
        <v>155</v>
      </c>
      <c r="B38" s="12" t="s">
        <v>25</v>
      </c>
      <c r="C38" s="12" t="s">
        <v>79</v>
      </c>
      <c r="D38" s="12" t="s">
        <v>87</v>
      </c>
      <c r="E38" s="12" t="s">
        <v>88</v>
      </c>
      <c r="F38" s="12" t="s">
        <v>89</v>
      </c>
      <c r="G38" s="12" t="s">
        <v>83</v>
      </c>
      <c r="H38" s="12" t="s">
        <v>90</v>
      </c>
      <c r="I38" s="12" t="s">
        <v>54</v>
      </c>
      <c r="J38" s="13" t="s">
        <v>21</v>
      </c>
      <c r="K38" s="13"/>
      <c r="L38" s="13"/>
      <c r="M38" s="13"/>
      <c r="N38" s="13"/>
    </row>
    <row r="39" customFormat="false" ht="23.85" hidden="false" customHeight="false" outlineLevel="0" collapsed="false">
      <c r="A39" s="12" t="s">
        <v>156</v>
      </c>
      <c r="B39" s="12" t="s">
        <v>25</v>
      </c>
      <c r="C39" s="12" t="s">
        <v>79</v>
      </c>
      <c r="D39" s="12" t="s">
        <v>92</v>
      </c>
      <c r="E39" s="12" t="s">
        <v>93</v>
      </c>
      <c r="F39" s="12" t="s">
        <v>94</v>
      </c>
      <c r="G39" s="12" t="s">
        <v>95</v>
      </c>
      <c r="H39" s="12" t="s">
        <v>96</v>
      </c>
      <c r="I39" s="12" t="s">
        <v>54</v>
      </c>
      <c r="J39" s="13" t="s">
        <v>21</v>
      </c>
      <c r="K39" s="13"/>
      <c r="L39" s="13"/>
      <c r="M39" s="13"/>
      <c r="N39" s="13"/>
    </row>
    <row r="40" customFormat="false" ht="23.85" hidden="false" customHeight="false" outlineLevel="0" collapsed="false">
      <c r="A40" s="12" t="s">
        <v>157</v>
      </c>
      <c r="B40" s="12" t="s">
        <v>25</v>
      </c>
      <c r="C40" s="12" t="s">
        <v>79</v>
      </c>
      <c r="D40" s="12" t="s">
        <v>98</v>
      </c>
      <c r="E40" s="12" t="s">
        <v>99</v>
      </c>
      <c r="F40" s="12" t="s">
        <v>100</v>
      </c>
      <c r="G40" s="12" t="s">
        <v>95</v>
      </c>
      <c r="H40" s="12" t="s">
        <v>101</v>
      </c>
      <c r="I40" s="12" t="s">
        <v>54</v>
      </c>
      <c r="J40" s="13" t="s">
        <v>21</v>
      </c>
      <c r="K40" s="13"/>
      <c r="L40" s="13"/>
      <c r="M40" s="13"/>
      <c r="N40" s="13"/>
    </row>
    <row r="41" customFormat="false" ht="23.85" hidden="false" customHeight="false" outlineLevel="0" collapsed="false">
      <c r="A41" s="12" t="s">
        <v>158</v>
      </c>
      <c r="B41" s="12" t="s">
        <v>25</v>
      </c>
      <c r="C41" s="12" t="s">
        <v>79</v>
      </c>
      <c r="D41" s="12" t="s">
        <v>103</v>
      </c>
      <c r="E41" s="12" t="s">
        <v>104</v>
      </c>
      <c r="F41" s="12" t="s">
        <v>105</v>
      </c>
      <c r="G41" s="12" t="s">
        <v>106</v>
      </c>
      <c r="H41" s="12" t="s">
        <v>107</v>
      </c>
      <c r="I41" s="12" t="s">
        <v>65</v>
      </c>
      <c r="J41" s="13" t="s">
        <v>21</v>
      </c>
      <c r="K41" s="13"/>
      <c r="L41" s="13"/>
      <c r="M41" s="13"/>
      <c r="N41" s="13"/>
    </row>
    <row r="42" customFormat="false" ht="23.85" hidden="false" customHeight="false" outlineLevel="0" collapsed="false">
      <c r="A42" s="12" t="s">
        <v>159</v>
      </c>
      <c r="B42" s="12" t="s">
        <v>25</v>
      </c>
      <c r="C42" s="12" t="s">
        <v>79</v>
      </c>
      <c r="D42" s="12" t="s">
        <v>109</v>
      </c>
      <c r="E42" s="12" t="s">
        <v>110</v>
      </c>
      <c r="F42" s="12" t="s">
        <v>111</v>
      </c>
      <c r="G42" s="12" t="s">
        <v>112</v>
      </c>
      <c r="H42" s="12" t="s">
        <v>107</v>
      </c>
      <c r="I42" s="12" t="s">
        <v>65</v>
      </c>
      <c r="J42" s="13" t="s">
        <v>21</v>
      </c>
      <c r="K42" s="13"/>
      <c r="L42" s="13"/>
      <c r="M42" s="13"/>
      <c r="N42" s="13"/>
    </row>
    <row r="43" customFormat="false" ht="23.85" hidden="false" customHeight="false" outlineLevel="0" collapsed="false">
      <c r="A43" s="12" t="s">
        <v>160</v>
      </c>
      <c r="B43" s="12" t="s">
        <v>25</v>
      </c>
      <c r="C43" s="12" t="s">
        <v>79</v>
      </c>
      <c r="D43" s="12" t="s">
        <v>114</v>
      </c>
      <c r="E43" s="12" t="s">
        <v>115</v>
      </c>
      <c r="F43" s="12" t="s">
        <v>116</v>
      </c>
      <c r="G43" s="12" t="s">
        <v>106</v>
      </c>
      <c r="H43" s="12" t="s">
        <v>117</v>
      </c>
      <c r="I43" s="12" t="s">
        <v>65</v>
      </c>
      <c r="J43" s="13" t="s">
        <v>21</v>
      </c>
      <c r="K43" s="13"/>
      <c r="L43" s="13"/>
      <c r="M43" s="13"/>
      <c r="N43" s="13"/>
    </row>
    <row r="44" customFormat="false" ht="23.85" hidden="false" customHeight="false" outlineLevel="0" collapsed="false">
      <c r="A44" s="12" t="s">
        <v>161</v>
      </c>
      <c r="B44" s="12" t="s">
        <v>25</v>
      </c>
      <c r="C44" s="12" t="s">
        <v>79</v>
      </c>
      <c r="D44" s="12" t="s">
        <v>119</v>
      </c>
      <c r="E44" s="12" t="s">
        <v>120</v>
      </c>
      <c r="F44" s="12" t="s">
        <v>121</v>
      </c>
      <c r="G44" s="12" t="s">
        <v>122</v>
      </c>
      <c r="H44" s="12" t="s">
        <v>90</v>
      </c>
      <c r="I44" s="12" t="s">
        <v>54</v>
      </c>
      <c r="J44" s="13" t="s">
        <v>21</v>
      </c>
      <c r="K44" s="13"/>
      <c r="L44" s="13"/>
      <c r="M44" s="13"/>
      <c r="N44" s="13"/>
    </row>
    <row r="45" customFormat="false" ht="23.85" hidden="false" customHeight="false" outlineLevel="0" collapsed="false">
      <c r="A45" s="12" t="s">
        <v>162</v>
      </c>
      <c r="B45" s="12" t="s">
        <v>25</v>
      </c>
      <c r="C45" s="12" t="s">
        <v>48</v>
      </c>
      <c r="D45" s="12" t="s">
        <v>124</v>
      </c>
      <c r="E45" s="12" t="s">
        <v>125</v>
      </c>
      <c r="F45" s="12" t="s">
        <v>126</v>
      </c>
      <c r="G45" s="12" t="s">
        <v>76</v>
      </c>
      <c r="H45" s="12" t="s">
        <v>127</v>
      </c>
      <c r="I45" s="12" t="s">
        <v>65</v>
      </c>
      <c r="J45" s="13" t="s">
        <v>21</v>
      </c>
      <c r="K45" s="13"/>
      <c r="L45" s="13"/>
      <c r="M45" s="13"/>
      <c r="N45" s="13"/>
    </row>
    <row r="46" customFormat="false" ht="23.85" hidden="false" customHeight="false" outlineLevel="0" collapsed="false">
      <c r="A46" s="12" t="s">
        <v>163</v>
      </c>
      <c r="B46" s="12" t="s">
        <v>25</v>
      </c>
      <c r="C46" s="12" t="s">
        <v>79</v>
      </c>
      <c r="D46" s="12" t="s">
        <v>129</v>
      </c>
      <c r="E46" s="12" t="s">
        <v>130</v>
      </c>
      <c r="F46" s="12" t="s">
        <v>131</v>
      </c>
      <c r="G46" s="12" t="s">
        <v>132</v>
      </c>
      <c r="H46" s="12" t="s">
        <v>133</v>
      </c>
      <c r="I46" s="12" t="s">
        <v>65</v>
      </c>
      <c r="J46" s="13" t="s">
        <v>21</v>
      </c>
      <c r="K46" s="13"/>
      <c r="L46" s="13"/>
      <c r="M46" s="13"/>
      <c r="N46" s="13"/>
    </row>
    <row r="47" customFormat="false" ht="23.85" hidden="false" customHeight="false" outlineLevel="0" collapsed="false">
      <c r="A47" s="12" t="s">
        <v>164</v>
      </c>
      <c r="B47" s="12" t="s">
        <v>26</v>
      </c>
      <c r="C47" s="12" t="s">
        <v>48</v>
      </c>
      <c r="D47" s="12" t="s">
        <v>49</v>
      </c>
      <c r="E47" s="12" t="s">
        <v>50</v>
      </c>
      <c r="F47" s="12" t="s">
        <v>51</v>
      </c>
      <c r="G47" s="12" t="s">
        <v>52</v>
      </c>
      <c r="H47" s="12" t="s">
        <v>53</v>
      </c>
      <c r="I47" s="12" t="s">
        <v>54</v>
      </c>
      <c r="J47" s="13" t="s">
        <v>21</v>
      </c>
      <c r="K47" s="13"/>
      <c r="L47" s="13"/>
      <c r="M47" s="13"/>
      <c r="N47" s="13"/>
    </row>
    <row r="48" customFormat="false" ht="23.85" hidden="false" customHeight="false" outlineLevel="0" collapsed="false">
      <c r="A48" s="12" t="s">
        <v>165</v>
      </c>
      <c r="B48" s="12" t="s">
        <v>26</v>
      </c>
      <c r="C48" s="12" t="s">
        <v>48</v>
      </c>
      <c r="D48" s="12" t="s">
        <v>56</v>
      </c>
      <c r="E48" s="12" t="s">
        <v>57</v>
      </c>
      <c r="F48" s="12" t="s">
        <v>58</v>
      </c>
      <c r="G48" s="12" t="s">
        <v>52</v>
      </c>
      <c r="H48" s="12" t="s">
        <v>59</v>
      </c>
      <c r="I48" s="12" t="s">
        <v>54</v>
      </c>
      <c r="J48" s="13" t="s">
        <v>21</v>
      </c>
      <c r="K48" s="13"/>
      <c r="L48" s="13"/>
      <c r="M48" s="13"/>
      <c r="N48" s="13"/>
    </row>
    <row r="49" customFormat="false" ht="15" hidden="false" customHeight="false" outlineLevel="0" collapsed="false">
      <c r="A49" s="12" t="s">
        <v>166</v>
      </c>
      <c r="B49" s="12" t="s">
        <v>26</v>
      </c>
      <c r="C49" s="12" t="s">
        <v>48</v>
      </c>
      <c r="D49" s="12" t="s">
        <v>61</v>
      </c>
      <c r="E49" s="12" t="s">
        <v>62</v>
      </c>
      <c r="F49" s="12" t="s">
        <v>63</v>
      </c>
      <c r="G49" s="12" t="s">
        <v>52</v>
      </c>
      <c r="H49" s="12" t="s">
        <v>64</v>
      </c>
      <c r="I49" s="12" t="s">
        <v>65</v>
      </c>
      <c r="J49" s="13" t="s">
        <v>21</v>
      </c>
      <c r="K49" s="13"/>
      <c r="L49" s="13"/>
      <c r="M49" s="13"/>
      <c r="N49" s="13"/>
    </row>
    <row r="50" customFormat="false" ht="23.85" hidden="false" customHeight="false" outlineLevel="0" collapsed="false">
      <c r="A50" s="12" t="s">
        <v>167</v>
      </c>
      <c r="B50" s="12" t="s">
        <v>26</v>
      </c>
      <c r="C50" s="12" t="s">
        <v>48</v>
      </c>
      <c r="D50" s="12" t="s">
        <v>67</v>
      </c>
      <c r="E50" s="12" t="s">
        <v>68</v>
      </c>
      <c r="F50" s="12" t="s">
        <v>69</v>
      </c>
      <c r="G50" s="12" t="s">
        <v>70</v>
      </c>
      <c r="H50" s="12" t="s">
        <v>71</v>
      </c>
      <c r="I50" s="12" t="s">
        <v>54</v>
      </c>
      <c r="J50" s="13" t="s">
        <v>21</v>
      </c>
      <c r="K50" s="13"/>
      <c r="L50" s="13"/>
      <c r="M50" s="13"/>
      <c r="N50" s="13"/>
    </row>
    <row r="51" customFormat="false" ht="23.85" hidden="false" customHeight="false" outlineLevel="0" collapsed="false">
      <c r="A51" s="12" t="s">
        <v>168</v>
      </c>
      <c r="B51" s="12" t="s">
        <v>26</v>
      </c>
      <c r="C51" s="12" t="s">
        <v>48</v>
      </c>
      <c r="D51" s="12" t="s">
        <v>73</v>
      </c>
      <c r="E51" s="12" t="s">
        <v>74</v>
      </c>
      <c r="F51" s="12" t="s">
        <v>75</v>
      </c>
      <c r="G51" s="12" t="s">
        <v>76</v>
      </c>
      <c r="H51" s="12" t="s">
        <v>77</v>
      </c>
      <c r="I51" s="12" t="s">
        <v>65</v>
      </c>
      <c r="J51" s="13" t="s">
        <v>21</v>
      </c>
      <c r="K51" s="13"/>
      <c r="L51" s="13"/>
      <c r="M51" s="13"/>
      <c r="N51" s="13"/>
    </row>
    <row r="52" customFormat="false" ht="23.85" hidden="false" customHeight="false" outlineLevel="0" collapsed="false">
      <c r="A52" s="12" t="s">
        <v>169</v>
      </c>
      <c r="B52" s="12" t="s">
        <v>26</v>
      </c>
      <c r="C52" s="12" t="s">
        <v>79</v>
      </c>
      <c r="D52" s="12" t="s">
        <v>80</v>
      </c>
      <c r="E52" s="12" t="s">
        <v>81</v>
      </c>
      <c r="F52" s="12" t="s">
        <v>82</v>
      </c>
      <c r="G52" s="12" t="s">
        <v>83</v>
      </c>
      <c r="H52" s="12" t="s">
        <v>84</v>
      </c>
      <c r="I52" s="12" t="s">
        <v>54</v>
      </c>
      <c r="J52" s="13" t="s">
        <v>21</v>
      </c>
      <c r="K52" s="13"/>
      <c r="L52" s="13"/>
      <c r="M52" s="13"/>
      <c r="N52" s="13" t="s">
        <v>85</v>
      </c>
    </row>
    <row r="53" customFormat="false" ht="23.85" hidden="false" customHeight="false" outlineLevel="0" collapsed="false">
      <c r="A53" s="12" t="s">
        <v>170</v>
      </c>
      <c r="B53" s="12" t="s">
        <v>26</v>
      </c>
      <c r="C53" s="12" t="s">
        <v>79</v>
      </c>
      <c r="D53" s="12" t="s">
        <v>87</v>
      </c>
      <c r="E53" s="12" t="s">
        <v>88</v>
      </c>
      <c r="F53" s="12" t="s">
        <v>89</v>
      </c>
      <c r="G53" s="12" t="s">
        <v>83</v>
      </c>
      <c r="H53" s="12" t="s">
        <v>90</v>
      </c>
      <c r="I53" s="12" t="s">
        <v>54</v>
      </c>
      <c r="J53" s="13" t="s">
        <v>21</v>
      </c>
      <c r="K53" s="13"/>
      <c r="L53" s="13"/>
      <c r="M53" s="13"/>
      <c r="N53" s="13" t="s">
        <v>85</v>
      </c>
    </row>
    <row r="54" customFormat="false" ht="23.85" hidden="false" customHeight="false" outlineLevel="0" collapsed="false">
      <c r="A54" s="12" t="s">
        <v>171</v>
      </c>
      <c r="B54" s="12" t="s">
        <v>26</v>
      </c>
      <c r="C54" s="12" t="s">
        <v>79</v>
      </c>
      <c r="D54" s="12" t="s">
        <v>92</v>
      </c>
      <c r="E54" s="12" t="s">
        <v>93</v>
      </c>
      <c r="F54" s="12" t="s">
        <v>94</v>
      </c>
      <c r="G54" s="12" t="s">
        <v>95</v>
      </c>
      <c r="H54" s="12" t="s">
        <v>96</v>
      </c>
      <c r="I54" s="12" t="s">
        <v>54</v>
      </c>
      <c r="J54" s="13" t="s">
        <v>21</v>
      </c>
      <c r="K54" s="13"/>
      <c r="L54" s="13"/>
      <c r="M54" s="13"/>
      <c r="N54" s="13"/>
    </row>
    <row r="55" customFormat="false" ht="23.85" hidden="false" customHeight="false" outlineLevel="0" collapsed="false">
      <c r="A55" s="12" t="s">
        <v>172</v>
      </c>
      <c r="B55" s="12" t="s">
        <v>26</v>
      </c>
      <c r="C55" s="12" t="s">
        <v>79</v>
      </c>
      <c r="D55" s="12" t="s">
        <v>98</v>
      </c>
      <c r="E55" s="12" t="s">
        <v>99</v>
      </c>
      <c r="F55" s="12" t="s">
        <v>100</v>
      </c>
      <c r="G55" s="12" t="s">
        <v>95</v>
      </c>
      <c r="H55" s="12" t="s">
        <v>101</v>
      </c>
      <c r="I55" s="12" t="s">
        <v>54</v>
      </c>
      <c r="J55" s="13" t="s">
        <v>21</v>
      </c>
      <c r="K55" s="13"/>
      <c r="L55" s="13"/>
      <c r="M55" s="13"/>
      <c r="N55" s="13"/>
    </row>
    <row r="56" customFormat="false" ht="23.85" hidden="false" customHeight="false" outlineLevel="0" collapsed="false">
      <c r="A56" s="12" t="s">
        <v>173</v>
      </c>
      <c r="B56" s="12" t="s">
        <v>26</v>
      </c>
      <c r="C56" s="12" t="s">
        <v>79</v>
      </c>
      <c r="D56" s="12" t="s">
        <v>103</v>
      </c>
      <c r="E56" s="12" t="s">
        <v>104</v>
      </c>
      <c r="F56" s="12" t="s">
        <v>105</v>
      </c>
      <c r="G56" s="12" t="s">
        <v>106</v>
      </c>
      <c r="H56" s="12" t="s">
        <v>107</v>
      </c>
      <c r="I56" s="12" t="s">
        <v>65</v>
      </c>
      <c r="J56" s="13" t="s">
        <v>21</v>
      </c>
      <c r="K56" s="13"/>
      <c r="L56" s="13"/>
      <c r="M56" s="13"/>
      <c r="N56" s="13"/>
    </row>
    <row r="57" customFormat="false" ht="23.85" hidden="false" customHeight="false" outlineLevel="0" collapsed="false">
      <c r="A57" s="12" t="s">
        <v>174</v>
      </c>
      <c r="B57" s="12" t="s">
        <v>26</v>
      </c>
      <c r="C57" s="12" t="s">
        <v>79</v>
      </c>
      <c r="D57" s="12" t="s">
        <v>109</v>
      </c>
      <c r="E57" s="12" t="s">
        <v>110</v>
      </c>
      <c r="F57" s="12" t="s">
        <v>111</v>
      </c>
      <c r="G57" s="12" t="s">
        <v>112</v>
      </c>
      <c r="H57" s="12" t="s">
        <v>107</v>
      </c>
      <c r="I57" s="12" t="s">
        <v>65</v>
      </c>
      <c r="J57" s="13" t="s">
        <v>21</v>
      </c>
      <c r="K57" s="13"/>
      <c r="L57" s="13"/>
      <c r="M57" s="13"/>
      <c r="N57" s="13"/>
    </row>
    <row r="58" customFormat="false" ht="23.85" hidden="false" customHeight="false" outlineLevel="0" collapsed="false">
      <c r="A58" s="12" t="s">
        <v>175</v>
      </c>
      <c r="B58" s="12" t="s">
        <v>26</v>
      </c>
      <c r="C58" s="12" t="s">
        <v>79</v>
      </c>
      <c r="D58" s="12" t="s">
        <v>114</v>
      </c>
      <c r="E58" s="12" t="s">
        <v>115</v>
      </c>
      <c r="F58" s="12" t="s">
        <v>116</v>
      </c>
      <c r="G58" s="12" t="s">
        <v>106</v>
      </c>
      <c r="H58" s="12" t="s">
        <v>117</v>
      </c>
      <c r="I58" s="12" t="s">
        <v>65</v>
      </c>
      <c r="J58" s="13" t="s">
        <v>21</v>
      </c>
      <c r="K58" s="13"/>
      <c r="L58" s="13"/>
      <c r="M58" s="13"/>
      <c r="N58" s="13"/>
    </row>
    <row r="59" customFormat="false" ht="23.85" hidden="false" customHeight="false" outlineLevel="0" collapsed="false">
      <c r="A59" s="12" t="s">
        <v>176</v>
      </c>
      <c r="B59" s="12" t="s">
        <v>26</v>
      </c>
      <c r="C59" s="12" t="s">
        <v>79</v>
      </c>
      <c r="D59" s="12" t="s">
        <v>119</v>
      </c>
      <c r="E59" s="12" t="s">
        <v>120</v>
      </c>
      <c r="F59" s="12" t="s">
        <v>121</v>
      </c>
      <c r="G59" s="12" t="s">
        <v>122</v>
      </c>
      <c r="H59" s="12" t="s">
        <v>90</v>
      </c>
      <c r="I59" s="12" t="s">
        <v>54</v>
      </c>
      <c r="J59" s="13" t="s">
        <v>21</v>
      </c>
      <c r="K59" s="13"/>
      <c r="L59" s="13"/>
      <c r="M59" s="13"/>
      <c r="N59" s="13" t="s">
        <v>85</v>
      </c>
    </row>
    <row r="60" customFormat="false" ht="23.85" hidden="false" customHeight="false" outlineLevel="0" collapsed="false">
      <c r="A60" s="12" t="s">
        <v>177</v>
      </c>
      <c r="B60" s="12" t="s">
        <v>26</v>
      </c>
      <c r="C60" s="12" t="s">
        <v>48</v>
      </c>
      <c r="D60" s="12" t="s">
        <v>124</v>
      </c>
      <c r="E60" s="12" t="s">
        <v>125</v>
      </c>
      <c r="F60" s="12" t="s">
        <v>126</v>
      </c>
      <c r="G60" s="12" t="s">
        <v>76</v>
      </c>
      <c r="H60" s="12" t="s">
        <v>127</v>
      </c>
      <c r="I60" s="12" t="s">
        <v>65</v>
      </c>
      <c r="J60" s="13" t="s">
        <v>21</v>
      </c>
      <c r="K60" s="13"/>
      <c r="L60" s="13"/>
      <c r="M60" s="13"/>
      <c r="N60" s="13"/>
    </row>
    <row r="61" customFormat="false" ht="23.85" hidden="false" customHeight="false" outlineLevel="0" collapsed="false">
      <c r="A61" s="12" t="s">
        <v>178</v>
      </c>
      <c r="B61" s="12" t="s">
        <v>26</v>
      </c>
      <c r="C61" s="12" t="s">
        <v>79</v>
      </c>
      <c r="D61" s="12" t="s">
        <v>129</v>
      </c>
      <c r="E61" s="12" t="s">
        <v>130</v>
      </c>
      <c r="F61" s="12" t="s">
        <v>131</v>
      </c>
      <c r="G61" s="12" t="s">
        <v>132</v>
      </c>
      <c r="H61" s="12" t="s">
        <v>133</v>
      </c>
      <c r="I61" s="12" t="s">
        <v>65</v>
      </c>
      <c r="J61" s="13" t="s">
        <v>21</v>
      </c>
      <c r="K61" s="13"/>
      <c r="L61" s="13"/>
      <c r="M61" s="13"/>
      <c r="N61" s="13"/>
    </row>
    <row r="62" customFormat="false" ht="23.85" hidden="false" customHeight="false" outlineLevel="0" collapsed="false">
      <c r="A62" s="12" t="s">
        <v>179</v>
      </c>
      <c r="B62" s="12" t="s">
        <v>27</v>
      </c>
      <c r="C62" s="12" t="s">
        <v>180</v>
      </c>
      <c r="D62" s="12" t="s">
        <v>181</v>
      </c>
      <c r="E62" s="12" t="s">
        <v>182</v>
      </c>
      <c r="F62" s="12" t="s">
        <v>183</v>
      </c>
      <c r="G62" s="12" t="s">
        <v>184</v>
      </c>
      <c r="H62" s="12" t="s">
        <v>185</v>
      </c>
      <c r="I62" s="12" t="s">
        <v>54</v>
      </c>
      <c r="J62" s="13" t="s">
        <v>21</v>
      </c>
      <c r="K62" s="13"/>
      <c r="L62" s="13"/>
      <c r="M62" s="13"/>
      <c r="N62" s="13"/>
    </row>
    <row r="63" customFormat="false" ht="23.85" hidden="false" customHeight="false" outlineLevel="0" collapsed="false">
      <c r="A63" s="12" t="s">
        <v>186</v>
      </c>
      <c r="B63" s="12" t="s">
        <v>27</v>
      </c>
      <c r="C63" s="12" t="s">
        <v>180</v>
      </c>
      <c r="D63" s="12" t="s">
        <v>187</v>
      </c>
      <c r="E63" s="12" t="s">
        <v>182</v>
      </c>
      <c r="F63" s="12" t="s">
        <v>188</v>
      </c>
      <c r="G63" s="12" t="s">
        <v>184</v>
      </c>
      <c r="H63" s="12" t="s">
        <v>189</v>
      </c>
      <c r="I63" s="12" t="s">
        <v>54</v>
      </c>
      <c r="J63" s="13" t="s">
        <v>21</v>
      </c>
      <c r="K63" s="13"/>
      <c r="L63" s="13"/>
      <c r="M63" s="13"/>
      <c r="N63" s="13"/>
    </row>
    <row r="64" customFormat="false" ht="23.85" hidden="false" customHeight="false" outlineLevel="0" collapsed="false">
      <c r="A64" s="12" t="s">
        <v>190</v>
      </c>
      <c r="B64" s="12" t="s">
        <v>27</v>
      </c>
      <c r="C64" s="12" t="s">
        <v>180</v>
      </c>
      <c r="D64" s="12" t="s">
        <v>191</v>
      </c>
      <c r="E64" s="12" t="s">
        <v>182</v>
      </c>
      <c r="F64" s="12" t="s">
        <v>192</v>
      </c>
      <c r="G64" s="12" t="s">
        <v>193</v>
      </c>
      <c r="H64" s="12" t="s">
        <v>194</v>
      </c>
      <c r="I64" s="12" t="s">
        <v>54</v>
      </c>
      <c r="J64" s="13" t="s">
        <v>21</v>
      </c>
      <c r="K64" s="13"/>
      <c r="L64" s="13"/>
      <c r="M64" s="13"/>
      <c r="N64" s="13"/>
    </row>
    <row r="65" customFormat="false" ht="23.85" hidden="false" customHeight="false" outlineLevel="0" collapsed="false">
      <c r="A65" s="12" t="s">
        <v>195</v>
      </c>
      <c r="B65" s="12" t="s">
        <v>27</v>
      </c>
      <c r="C65" s="12" t="s">
        <v>180</v>
      </c>
      <c r="D65" s="12" t="s">
        <v>196</v>
      </c>
      <c r="E65" s="12" t="s">
        <v>182</v>
      </c>
      <c r="F65" s="12" t="s">
        <v>197</v>
      </c>
      <c r="G65" s="12" t="s">
        <v>193</v>
      </c>
      <c r="H65" s="12" t="s">
        <v>198</v>
      </c>
      <c r="I65" s="12" t="s">
        <v>54</v>
      </c>
      <c r="J65" s="13" t="s">
        <v>21</v>
      </c>
      <c r="K65" s="13"/>
      <c r="L65" s="13"/>
      <c r="M65" s="13"/>
      <c r="N65" s="13"/>
    </row>
    <row r="66" customFormat="false" ht="23.85" hidden="false" customHeight="false" outlineLevel="0" collapsed="false">
      <c r="A66" s="12" t="s">
        <v>199</v>
      </c>
      <c r="B66" s="12" t="s">
        <v>27</v>
      </c>
      <c r="C66" s="12" t="s">
        <v>180</v>
      </c>
      <c r="D66" s="12" t="s">
        <v>200</v>
      </c>
      <c r="E66" s="12" t="s">
        <v>182</v>
      </c>
      <c r="F66" s="12" t="s">
        <v>201</v>
      </c>
      <c r="G66" s="12" t="s">
        <v>193</v>
      </c>
      <c r="H66" s="12" t="s">
        <v>202</v>
      </c>
      <c r="I66" s="12" t="s">
        <v>54</v>
      </c>
      <c r="J66" s="13" t="s">
        <v>21</v>
      </c>
      <c r="K66" s="13"/>
      <c r="L66" s="13"/>
      <c r="M66" s="13"/>
      <c r="N66" s="13"/>
    </row>
    <row r="67" customFormat="false" ht="23.85" hidden="false" customHeight="false" outlineLevel="0" collapsed="false">
      <c r="A67" s="12" t="s">
        <v>203</v>
      </c>
      <c r="B67" s="12" t="s">
        <v>27</v>
      </c>
      <c r="C67" s="12" t="s">
        <v>180</v>
      </c>
      <c r="D67" s="12" t="s">
        <v>204</v>
      </c>
      <c r="E67" s="12" t="s">
        <v>182</v>
      </c>
      <c r="F67" s="12" t="s">
        <v>205</v>
      </c>
      <c r="G67" s="12" t="s">
        <v>193</v>
      </c>
      <c r="H67" s="12" t="s">
        <v>206</v>
      </c>
      <c r="I67" s="12" t="s">
        <v>54</v>
      </c>
      <c r="J67" s="13" t="s">
        <v>21</v>
      </c>
      <c r="K67" s="13"/>
      <c r="L67" s="13"/>
      <c r="M67" s="13"/>
      <c r="N67" s="13"/>
    </row>
    <row r="68" customFormat="false" ht="23.85" hidden="false" customHeight="false" outlineLevel="0" collapsed="false">
      <c r="A68" s="12" t="s">
        <v>207</v>
      </c>
      <c r="B68" s="12" t="s">
        <v>27</v>
      </c>
      <c r="C68" s="12" t="s">
        <v>180</v>
      </c>
      <c r="D68" s="12" t="s">
        <v>208</v>
      </c>
      <c r="E68" s="12" t="s">
        <v>182</v>
      </c>
      <c r="F68" s="12" t="s">
        <v>209</v>
      </c>
      <c r="G68" s="12" t="s">
        <v>106</v>
      </c>
      <c r="H68" s="12" t="s">
        <v>210</v>
      </c>
      <c r="I68" s="12" t="s">
        <v>54</v>
      </c>
      <c r="J68" s="13" t="s">
        <v>21</v>
      </c>
      <c r="K68" s="13"/>
      <c r="L68" s="13"/>
      <c r="M68" s="13"/>
      <c r="N68" s="13"/>
    </row>
    <row r="69" customFormat="false" ht="23.85" hidden="false" customHeight="false" outlineLevel="0" collapsed="false">
      <c r="A69" s="12" t="s">
        <v>211</v>
      </c>
      <c r="B69" s="12" t="s">
        <v>27</v>
      </c>
      <c r="C69" s="12" t="s">
        <v>180</v>
      </c>
      <c r="D69" s="12" t="s">
        <v>212</v>
      </c>
      <c r="E69" s="12" t="s">
        <v>182</v>
      </c>
      <c r="F69" s="12" t="s">
        <v>213</v>
      </c>
      <c r="G69" s="12" t="s">
        <v>193</v>
      </c>
      <c r="H69" s="12" t="s">
        <v>214</v>
      </c>
      <c r="I69" s="12" t="s">
        <v>65</v>
      </c>
      <c r="J69" s="13" t="s">
        <v>21</v>
      </c>
      <c r="K69" s="13"/>
      <c r="L69" s="13"/>
      <c r="M69" s="13"/>
      <c r="N69" s="13"/>
    </row>
    <row r="70" customFormat="false" ht="23.85" hidden="false" customHeight="false" outlineLevel="0" collapsed="false">
      <c r="A70" s="12" t="s">
        <v>215</v>
      </c>
      <c r="B70" s="12" t="s">
        <v>27</v>
      </c>
      <c r="C70" s="12" t="s">
        <v>180</v>
      </c>
      <c r="D70" s="12" t="s">
        <v>216</v>
      </c>
      <c r="E70" s="12" t="s">
        <v>182</v>
      </c>
      <c r="F70" s="12" t="s">
        <v>217</v>
      </c>
      <c r="G70" s="12" t="s">
        <v>95</v>
      </c>
      <c r="H70" s="12" t="s">
        <v>218</v>
      </c>
      <c r="I70" s="12" t="s">
        <v>54</v>
      </c>
      <c r="J70" s="13" t="s">
        <v>21</v>
      </c>
      <c r="K70" s="13"/>
      <c r="L70" s="13"/>
      <c r="M70" s="13"/>
      <c r="N70" s="13"/>
    </row>
    <row r="71" customFormat="false" ht="23.85" hidden="false" customHeight="false" outlineLevel="0" collapsed="false">
      <c r="A71" s="12" t="s">
        <v>219</v>
      </c>
      <c r="B71" s="12" t="s">
        <v>27</v>
      </c>
      <c r="C71" s="12" t="s">
        <v>180</v>
      </c>
      <c r="D71" s="12" t="s">
        <v>220</v>
      </c>
      <c r="E71" s="12" t="s">
        <v>182</v>
      </c>
      <c r="F71" s="12" t="s">
        <v>221</v>
      </c>
      <c r="G71" s="12" t="s">
        <v>222</v>
      </c>
      <c r="H71" s="12" t="s">
        <v>223</v>
      </c>
      <c r="I71" s="12" t="s">
        <v>54</v>
      </c>
      <c r="J71" s="13" t="s">
        <v>21</v>
      </c>
      <c r="K71" s="13"/>
      <c r="L71" s="13"/>
      <c r="M71" s="13"/>
      <c r="N71" s="13"/>
    </row>
  </sheetData>
  <autoFilter ref="A1:N71"/>
  <dataValidations count="1">
    <dataValidation allowBlank="true" errorStyle="stop" operator="between" showDropDown="false" showErrorMessage="false" showInputMessage="false" sqref="J2:J71" type="list">
      <formula1>"Not run,Passed,Failed,Blocked,Not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</cols>
  <sheetData>
    <row r="1" customFormat="false" ht="23.85" hidden="false" customHeight="false" outlineLevel="0" collapsed="false">
      <c r="A1" s="11" t="s">
        <v>224</v>
      </c>
      <c r="B1" s="11" t="s">
        <v>225</v>
      </c>
      <c r="C1" s="11" t="s">
        <v>226</v>
      </c>
      <c r="D1" s="11" t="s">
        <v>227</v>
      </c>
      <c r="E1" s="11" t="s">
        <v>228</v>
      </c>
      <c r="F1" s="11" t="s">
        <v>42</v>
      </c>
    </row>
    <row r="2" customFormat="false" ht="23.85" hidden="false" customHeight="false" outlineLevel="0" collapsed="false">
      <c r="A2" s="12" t="s">
        <v>76</v>
      </c>
      <c r="B2" s="12" t="s">
        <v>229</v>
      </c>
      <c r="C2" s="12" t="s">
        <v>230</v>
      </c>
      <c r="D2" s="12" t="n">
        <f aca="false">COUNTIF('Test catalogue'!$G$2:$G$71,"*"&amp;A2&amp;"*")</f>
        <v>24</v>
      </c>
      <c r="E2" s="12" t="n">
        <f aca="false">COUNTIFS('Test catalogue'!$G$2:$G$71,"*"&amp;A2&amp;"*",'Test catalogue'!$J$2:$J$71,"Passed")+COUNTIFS('Test catalogue'!$G$2:$G$71,"*"&amp;A2&amp;"*",'Test catalogue'!$J$2:$J$71,"Not applicable")</f>
        <v>0</v>
      </c>
      <c r="F2" s="12" t="str">
        <f aca="false">IF(AND(D2&gt;0,E2=D2),"Met","Not yet")</f>
        <v>Not yet</v>
      </c>
    </row>
    <row r="3" customFormat="false" ht="23.85" hidden="false" customHeight="false" outlineLevel="0" collapsed="false">
      <c r="A3" s="12" t="s">
        <v>70</v>
      </c>
      <c r="B3" s="12" t="s">
        <v>231</v>
      </c>
      <c r="C3" s="12" t="s">
        <v>232</v>
      </c>
      <c r="D3" s="12" t="n">
        <f aca="false">COUNTIF('Test catalogue'!$G$2:$G$71,"*"&amp;A3&amp;"*")</f>
        <v>4</v>
      </c>
      <c r="E3" s="12" t="n">
        <f aca="false">COUNTIFS('Test catalogue'!$G$2:$G$71,"*"&amp;A3&amp;"*",'Test catalogue'!$J$2:$J$71,"Passed")+COUNTIFS('Test catalogue'!$G$2:$G$71,"*"&amp;A3&amp;"*",'Test catalogue'!$J$2:$J$71,"Not applicable")</f>
        <v>0</v>
      </c>
      <c r="F3" s="12" t="str">
        <f aca="false">IF(AND(D3&gt;0,E3=D3),"Met","Not yet")</f>
        <v>Not yet</v>
      </c>
    </row>
    <row r="4" customFormat="false" ht="23.85" hidden="false" customHeight="false" outlineLevel="0" collapsed="false">
      <c r="A4" s="12" t="s">
        <v>95</v>
      </c>
      <c r="B4" s="12" t="s">
        <v>233</v>
      </c>
      <c r="C4" s="12" t="s">
        <v>234</v>
      </c>
      <c r="D4" s="12" t="n">
        <f aca="false">COUNTIF('Test catalogue'!$G$2:$G$71,"*"&amp;A4&amp;"*")</f>
        <v>25</v>
      </c>
      <c r="E4" s="12" t="n">
        <f aca="false">COUNTIFS('Test catalogue'!$G$2:$G$71,"*"&amp;A4&amp;"*",'Test catalogue'!$J$2:$J$71,"Passed")+COUNTIFS('Test catalogue'!$G$2:$G$71,"*"&amp;A4&amp;"*",'Test catalogue'!$J$2:$J$71,"Not applicable")</f>
        <v>0</v>
      </c>
      <c r="F4" s="12" t="str">
        <f aca="false">IF(AND(D4&gt;0,E4=D4),"Met","Not yet")</f>
        <v>Not yet</v>
      </c>
    </row>
    <row r="5" customFormat="false" ht="15" hidden="false" customHeight="false" outlineLevel="0" collapsed="false">
      <c r="A5" s="12" t="s">
        <v>122</v>
      </c>
      <c r="B5" s="12" t="s">
        <v>235</v>
      </c>
      <c r="C5" s="12" t="s">
        <v>236</v>
      </c>
      <c r="D5" s="12" t="n">
        <f aca="false">COUNTIF('Test catalogue'!$G$2:$G$71,"*"&amp;A5&amp;"*")</f>
        <v>12</v>
      </c>
      <c r="E5" s="12" t="n">
        <f aca="false">COUNTIFS('Test catalogue'!$G$2:$G$71,"*"&amp;A5&amp;"*",'Test catalogue'!$J$2:$J$71,"Passed")+COUNTIFS('Test catalogue'!$G$2:$G$71,"*"&amp;A5&amp;"*",'Test catalogue'!$J$2:$J$71,"Not applicable")</f>
        <v>0</v>
      </c>
      <c r="F5" s="12" t="str">
        <f aca="false">IF(AND(D5&gt;0,E5=D5),"Met","Not yet")</f>
        <v>Not yet</v>
      </c>
    </row>
    <row r="6" customFormat="false" ht="23.85" hidden="false" customHeight="false" outlineLevel="0" collapsed="false">
      <c r="A6" s="12" t="s">
        <v>106</v>
      </c>
      <c r="B6" s="12" t="s">
        <v>237</v>
      </c>
      <c r="C6" s="12" t="s">
        <v>238</v>
      </c>
      <c r="D6" s="12" t="n">
        <f aca="false">COUNTIF('Test catalogue'!$G$2:$G$71,"*"&amp;A6&amp;"*")</f>
        <v>25</v>
      </c>
      <c r="E6" s="12" t="n">
        <f aca="false">COUNTIFS('Test catalogue'!$G$2:$G$71,"*"&amp;A6&amp;"*",'Test catalogue'!$J$2:$J$71,"Passed")+COUNTIFS('Test catalogue'!$G$2:$G$71,"*"&amp;A6&amp;"*",'Test catalogue'!$J$2:$J$71,"Not applicable")</f>
        <v>0</v>
      </c>
      <c r="F6" s="12" t="str">
        <f aca="false">IF(AND(D6&gt;0,E6=D6),"Met","Not yet")</f>
        <v>Not yet</v>
      </c>
    </row>
    <row r="7" customFormat="false" ht="23.85" hidden="false" customHeight="false" outlineLevel="0" collapsed="false">
      <c r="A7" s="12" t="s">
        <v>184</v>
      </c>
      <c r="B7" s="12" t="s">
        <v>239</v>
      </c>
      <c r="C7" s="12" t="s">
        <v>236</v>
      </c>
      <c r="D7" s="12" t="n">
        <f aca="false">COUNTIF('Test catalogue'!$G$2:$G$71,"*"&amp;A7&amp;"*")</f>
        <v>2</v>
      </c>
      <c r="E7" s="12" t="n">
        <f aca="false">COUNTIFS('Test catalogue'!$G$2:$G$71,"*"&amp;A7&amp;"*",'Test catalogue'!$J$2:$J$71,"Passed")+COUNTIFS('Test catalogue'!$G$2:$G$71,"*"&amp;A7&amp;"*",'Test catalogue'!$J$2:$J$71,"Not applicable")</f>
        <v>0</v>
      </c>
      <c r="F7" s="12" t="str">
        <f aca="false">IF(AND(D7&gt;0,E7=D7),"Met","Not yet")</f>
        <v>Not yet</v>
      </c>
    </row>
    <row r="8" customFormat="false" ht="23.85" hidden="false" customHeight="false" outlineLevel="0" collapsed="false">
      <c r="A8" s="12" t="s">
        <v>193</v>
      </c>
      <c r="B8" s="12" t="s">
        <v>240</v>
      </c>
      <c r="C8" s="12" t="s">
        <v>236</v>
      </c>
      <c r="D8" s="12" t="n">
        <f aca="false">COUNTIF('Test catalogue'!$G$2:$G$71,"*"&amp;A8&amp;"*")</f>
        <v>5</v>
      </c>
      <c r="E8" s="12" t="n">
        <f aca="false">COUNTIFS('Test catalogue'!$G$2:$G$71,"*"&amp;A8&amp;"*",'Test catalogue'!$J$2:$J$71,"Passed")+COUNTIFS('Test catalogue'!$G$2:$G$71,"*"&amp;A8&amp;"*",'Test catalogue'!$J$2:$J$71,"Not applicable")</f>
        <v>0</v>
      </c>
      <c r="F8" s="12" t="str">
        <f aca="false">IF(AND(D8&gt;0,E8=D8),"Met","Not yet")</f>
        <v>Not yet</v>
      </c>
    </row>
    <row r="9" customFormat="false" ht="23.85" hidden="false" customHeight="false" outlineLevel="0" collapsed="false">
      <c r="A9" s="12" t="s">
        <v>222</v>
      </c>
      <c r="B9" s="12" t="s">
        <v>241</v>
      </c>
      <c r="C9" s="12" t="s">
        <v>236</v>
      </c>
      <c r="D9" s="12" t="n">
        <f aca="false">COUNTIF('Test catalogue'!$G$2:$G$71,"*"&amp;A9&amp;"*")</f>
        <v>1</v>
      </c>
      <c r="E9" s="12" t="n">
        <f aca="false">COUNTIFS('Test catalogue'!$G$2:$G$71,"*"&amp;A9&amp;"*",'Test catalogue'!$J$2:$J$71,"Passed")+COUNTIFS('Test catalogue'!$G$2:$G$71,"*"&amp;A9&amp;"*",'Test catalogue'!$J$2:$J$71,"Not applicable")</f>
        <v>0</v>
      </c>
      <c r="F9" s="12" t="str">
        <f aca="false">IF(AND(D9&gt;0,E9=D9),"Met","Not yet")</f>
        <v>Not yet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46"/>
    <col collapsed="false" customWidth="true" hidden="false" outlineLevel="0" max="7" min="6" style="0" width="30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11" t="s">
        <v>224</v>
      </c>
      <c r="B1" s="11" t="s">
        <v>15</v>
      </c>
      <c r="C1" s="11" t="s">
        <v>242</v>
      </c>
      <c r="D1" s="11" t="s">
        <v>243</v>
      </c>
      <c r="E1" s="11" t="s">
        <v>244</v>
      </c>
      <c r="F1" s="11" t="s">
        <v>245</v>
      </c>
      <c r="G1" s="11" t="s">
        <v>246</v>
      </c>
      <c r="H1" s="11" t="s">
        <v>247</v>
      </c>
    </row>
    <row r="2" customFormat="false" ht="35.05" hidden="false" customHeight="false" outlineLevel="0" collapsed="false">
      <c r="A2" s="12" t="s">
        <v>248</v>
      </c>
      <c r="B2" s="12" t="s">
        <v>249</v>
      </c>
      <c r="C2" s="12" t="s">
        <v>250</v>
      </c>
      <c r="D2" s="12" t="s">
        <v>251</v>
      </c>
      <c r="E2" s="12" t="s">
        <v>252</v>
      </c>
      <c r="F2" s="12" t="s">
        <v>253</v>
      </c>
      <c r="G2" s="12" t="s">
        <v>254</v>
      </c>
      <c r="H2" s="12" t="s">
        <v>255</v>
      </c>
    </row>
    <row r="3" customFormat="false" ht="23.85" hidden="false" customHeight="false" outlineLevel="0" collapsed="false">
      <c r="A3" s="12" t="s">
        <v>256</v>
      </c>
      <c r="B3" s="12" t="s">
        <v>257</v>
      </c>
      <c r="C3" s="12" t="s">
        <v>258</v>
      </c>
      <c r="D3" s="12" t="s">
        <v>259</v>
      </c>
      <c r="E3" s="12" t="s">
        <v>260</v>
      </c>
      <c r="F3" s="12" t="s">
        <v>261</v>
      </c>
      <c r="G3" s="12" t="s">
        <v>262</v>
      </c>
      <c r="H3" s="12" t="s">
        <v>263</v>
      </c>
    </row>
    <row r="4" customFormat="false" ht="23.85" hidden="false" customHeight="false" outlineLevel="0" collapsed="false">
      <c r="A4" s="12" t="s">
        <v>264</v>
      </c>
      <c r="B4" s="12" t="s">
        <v>265</v>
      </c>
      <c r="C4" s="12" t="s">
        <v>250</v>
      </c>
      <c r="D4" s="12" t="s">
        <v>258</v>
      </c>
      <c r="E4" s="12" t="s">
        <v>266</v>
      </c>
      <c r="F4" s="12" t="s">
        <v>267</v>
      </c>
      <c r="G4" s="12" t="s">
        <v>268</v>
      </c>
      <c r="H4" s="12" t="s">
        <v>269</v>
      </c>
    </row>
    <row r="5" customFormat="false" ht="23.85" hidden="false" customHeight="false" outlineLevel="0" collapsed="false">
      <c r="A5" s="12" t="s">
        <v>270</v>
      </c>
      <c r="B5" s="12" t="s">
        <v>271</v>
      </c>
      <c r="C5" s="12" t="s">
        <v>259</v>
      </c>
      <c r="D5" s="12" t="s">
        <v>251</v>
      </c>
      <c r="E5" s="12" t="s">
        <v>272</v>
      </c>
      <c r="F5" s="12" t="s">
        <v>273</v>
      </c>
      <c r="G5" s="12" t="s">
        <v>274</v>
      </c>
      <c r="H5" s="12" t="s">
        <v>275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60"/>
    <col collapsed="false" customWidth="true" hidden="false" outlineLevel="0" max="6" min="6" style="0" width="36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1" t="s">
        <v>224</v>
      </c>
      <c r="B1" s="11" t="s">
        <v>276</v>
      </c>
      <c r="C1" s="11" t="s">
        <v>277</v>
      </c>
      <c r="D1" s="11" t="s">
        <v>278</v>
      </c>
      <c r="E1" s="11" t="s">
        <v>279</v>
      </c>
      <c r="F1" s="11" t="s">
        <v>280</v>
      </c>
      <c r="G1" s="11" t="s">
        <v>42</v>
      </c>
    </row>
    <row r="2" customFormat="false" ht="23.85" hidden="false" customHeight="false" outlineLevel="0" collapsed="false">
      <c r="A2" s="12" t="s">
        <v>281</v>
      </c>
      <c r="B2" s="12" t="s">
        <v>282</v>
      </c>
      <c r="C2" s="12" t="s">
        <v>31</v>
      </c>
      <c r="D2" s="12" t="s">
        <v>283</v>
      </c>
      <c r="E2" s="12" t="s">
        <v>284</v>
      </c>
      <c r="F2" s="13"/>
      <c r="G2" s="13" t="s">
        <v>285</v>
      </c>
    </row>
    <row r="3" customFormat="false" ht="23.85" hidden="false" customHeight="false" outlineLevel="0" collapsed="false">
      <c r="A3" s="12" t="s">
        <v>286</v>
      </c>
      <c r="B3" s="12" t="s">
        <v>287</v>
      </c>
      <c r="C3" s="12" t="s">
        <v>32</v>
      </c>
      <c r="D3" s="12" t="s">
        <v>288</v>
      </c>
      <c r="E3" s="12" t="s">
        <v>289</v>
      </c>
      <c r="F3" s="13"/>
      <c r="G3" s="13" t="s">
        <v>285</v>
      </c>
    </row>
    <row r="4" customFormat="false" ht="23.85" hidden="false" customHeight="false" outlineLevel="0" collapsed="false">
      <c r="A4" s="12" t="s">
        <v>290</v>
      </c>
      <c r="B4" s="12" t="s">
        <v>291</v>
      </c>
      <c r="C4" s="12" t="s">
        <v>32</v>
      </c>
      <c r="D4" s="12" t="s">
        <v>292</v>
      </c>
      <c r="E4" s="12" t="s">
        <v>293</v>
      </c>
      <c r="F4" s="13"/>
      <c r="G4" s="13" t="s">
        <v>285</v>
      </c>
    </row>
    <row r="5" customFormat="false" ht="23.85" hidden="false" customHeight="false" outlineLevel="0" collapsed="false">
      <c r="A5" s="12" t="s">
        <v>294</v>
      </c>
      <c r="B5" s="12" t="s">
        <v>291</v>
      </c>
      <c r="C5" s="12" t="s">
        <v>31</v>
      </c>
      <c r="D5" s="12" t="s">
        <v>295</v>
      </c>
      <c r="E5" s="12" t="s">
        <v>296</v>
      </c>
      <c r="F5" s="13"/>
      <c r="G5" s="13" t="s">
        <v>285</v>
      </c>
    </row>
    <row r="6" customFormat="false" ht="23.85" hidden="false" customHeight="false" outlineLevel="0" collapsed="false">
      <c r="A6" s="12" t="s">
        <v>297</v>
      </c>
      <c r="B6" s="12" t="s">
        <v>298</v>
      </c>
      <c r="C6" s="12" t="s">
        <v>31</v>
      </c>
      <c r="D6" s="12" t="s">
        <v>299</v>
      </c>
      <c r="E6" s="12" t="s">
        <v>300</v>
      </c>
      <c r="F6" s="13"/>
      <c r="G6" s="13" t="s">
        <v>285</v>
      </c>
    </row>
    <row r="7" customFormat="false" ht="23.85" hidden="false" customHeight="false" outlineLevel="0" collapsed="false">
      <c r="A7" s="12" t="s">
        <v>301</v>
      </c>
      <c r="B7" s="12" t="s">
        <v>302</v>
      </c>
      <c r="C7" s="12" t="s">
        <v>30</v>
      </c>
      <c r="D7" s="12" t="s">
        <v>303</v>
      </c>
      <c r="E7" s="12" t="s">
        <v>304</v>
      </c>
      <c r="F7" s="13"/>
      <c r="G7" s="13" t="s">
        <v>285</v>
      </c>
    </row>
    <row r="8" customFormat="false" ht="35.05" hidden="false" customHeight="false" outlineLevel="0" collapsed="false">
      <c r="A8" s="12" t="s">
        <v>305</v>
      </c>
      <c r="B8" s="12" t="s">
        <v>302</v>
      </c>
      <c r="C8" s="12" t="s">
        <v>30</v>
      </c>
      <c r="D8" s="12" t="s">
        <v>306</v>
      </c>
      <c r="E8" s="12" t="s">
        <v>307</v>
      </c>
      <c r="F8" s="13"/>
      <c r="G8" s="13" t="s">
        <v>285</v>
      </c>
    </row>
    <row r="9" customFormat="false" ht="35.05" hidden="false" customHeight="false" outlineLevel="0" collapsed="false">
      <c r="A9" s="12" t="s">
        <v>308</v>
      </c>
      <c r="B9" s="12" t="s">
        <v>309</v>
      </c>
      <c r="C9" s="12" t="s">
        <v>30</v>
      </c>
      <c r="D9" s="12" t="s">
        <v>310</v>
      </c>
      <c r="E9" s="12" t="s">
        <v>311</v>
      </c>
      <c r="F9" s="13"/>
      <c r="G9" s="13" t="s">
        <v>285</v>
      </c>
    </row>
    <row r="10" customFormat="false" ht="23.85" hidden="false" customHeight="false" outlineLevel="0" collapsed="false">
      <c r="A10" s="12" t="s">
        <v>312</v>
      </c>
      <c r="B10" s="12" t="s">
        <v>313</v>
      </c>
      <c r="C10" s="12" t="s">
        <v>32</v>
      </c>
      <c r="D10" s="12" t="s">
        <v>314</v>
      </c>
      <c r="E10" s="12" t="s">
        <v>315</v>
      </c>
      <c r="F10" s="13"/>
      <c r="G10" s="13" t="s">
        <v>285</v>
      </c>
    </row>
    <row r="11" customFormat="false" ht="23.85" hidden="false" customHeight="false" outlineLevel="0" collapsed="false">
      <c r="A11" s="12" t="s">
        <v>316</v>
      </c>
      <c r="B11" s="12" t="s">
        <v>317</v>
      </c>
      <c r="C11" s="12" t="s">
        <v>31</v>
      </c>
      <c r="D11" s="12" t="s">
        <v>318</v>
      </c>
      <c r="E11" s="12" t="s">
        <v>319</v>
      </c>
      <c r="F11" s="13"/>
      <c r="G11" s="13" t="s">
        <v>285</v>
      </c>
    </row>
    <row r="12" customFormat="false" ht="35.05" hidden="false" customHeight="false" outlineLevel="0" collapsed="false">
      <c r="A12" s="12" t="s">
        <v>320</v>
      </c>
      <c r="B12" s="12" t="s">
        <v>317</v>
      </c>
      <c r="C12" s="12" t="s">
        <v>31</v>
      </c>
      <c r="D12" s="12" t="s">
        <v>321</v>
      </c>
      <c r="E12" s="12" t="s">
        <v>322</v>
      </c>
      <c r="F12" s="13"/>
      <c r="G12" s="13" t="s">
        <v>285</v>
      </c>
    </row>
    <row r="13" customFormat="false" ht="23.85" hidden="false" customHeight="false" outlineLevel="0" collapsed="false">
      <c r="A13" s="12" t="s">
        <v>323</v>
      </c>
      <c r="B13" s="12" t="s">
        <v>317</v>
      </c>
      <c r="C13" s="12" t="s">
        <v>31</v>
      </c>
      <c r="D13" s="12" t="s">
        <v>324</v>
      </c>
      <c r="E13" s="12" t="s">
        <v>325</v>
      </c>
      <c r="F13" s="13"/>
      <c r="G13" s="13" t="s">
        <v>285</v>
      </c>
    </row>
    <row r="14" customFormat="false" ht="23.85" hidden="false" customHeight="false" outlineLevel="0" collapsed="false">
      <c r="A14" s="12" t="s">
        <v>326</v>
      </c>
      <c r="B14" s="12" t="s">
        <v>327</v>
      </c>
      <c r="C14" s="12" t="s">
        <v>30</v>
      </c>
      <c r="D14" s="12" t="s">
        <v>328</v>
      </c>
      <c r="E14" s="12" t="s">
        <v>329</v>
      </c>
      <c r="F14" s="13"/>
      <c r="G14" s="13" t="s">
        <v>285</v>
      </c>
    </row>
    <row r="15" customFormat="false" ht="23.85" hidden="false" customHeight="false" outlineLevel="0" collapsed="false">
      <c r="A15" s="12" t="s">
        <v>330</v>
      </c>
      <c r="B15" s="12" t="s">
        <v>331</v>
      </c>
      <c r="C15" s="12" t="s">
        <v>31</v>
      </c>
      <c r="D15" s="12" t="s">
        <v>332</v>
      </c>
      <c r="E15" s="12" t="s">
        <v>333</v>
      </c>
      <c r="F15" s="13"/>
      <c r="G15" s="13" t="s">
        <v>285</v>
      </c>
    </row>
    <row r="16" customFormat="false" ht="46.25" hidden="false" customHeight="false" outlineLevel="0" collapsed="false">
      <c r="A16" s="12" t="s">
        <v>334</v>
      </c>
      <c r="B16" s="12" t="s">
        <v>331</v>
      </c>
      <c r="C16" s="12" t="s">
        <v>31</v>
      </c>
      <c r="D16" s="12" t="s">
        <v>335</v>
      </c>
      <c r="E16" s="12" t="s">
        <v>336</v>
      </c>
      <c r="F16" s="13"/>
      <c r="G16" s="13" t="s">
        <v>285</v>
      </c>
    </row>
    <row r="17" customFormat="false" ht="23.85" hidden="false" customHeight="false" outlineLevel="0" collapsed="false">
      <c r="A17" s="12" t="s">
        <v>337</v>
      </c>
      <c r="B17" s="12" t="s">
        <v>338</v>
      </c>
      <c r="C17" s="12" t="s">
        <v>32</v>
      </c>
      <c r="D17" s="12" t="s">
        <v>339</v>
      </c>
      <c r="E17" s="12" t="s">
        <v>340</v>
      </c>
      <c r="F17" s="13"/>
      <c r="G17" s="13" t="s">
        <v>285</v>
      </c>
    </row>
    <row r="18" customFormat="false" ht="23.85" hidden="false" customHeight="false" outlineLevel="0" collapsed="false">
      <c r="A18" s="12" t="s">
        <v>341</v>
      </c>
      <c r="B18" s="12" t="s">
        <v>342</v>
      </c>
      <c r="C18" s="12" t="s">
        <v>30</v>
      </c>
      <c r="D18" s="12" t="s">
        <v>343</v>
      </c>
      <c r="E18" s="12" t="s">
        <v>344</v>
      </c>
      <c r="F18" s="13"/>
      <c r="G18" s="13" t="s">
        <v>285</v>
      </c>
    </row>
    <row r="19" customFormat="false" ht="35.05" hidden="false" customHeight="false" outlineLevel="0" collapsed="false">
      <c r="A19" s="12" t="s">
        <v>345</v>
      </c>
      <c r="B19" s="12" t="s">
        <v>342</v>
      </c>
      <c r="C19" s="12" t="s">
        <v>30</v>
      </c>
      <c r="D19" s="12" t="s">
        <v>346</v>
      </c>
      <c r="E19" s="12" t="s">
        <v>347</v>
      </c>
      <c r="F19" s="13"/>
      <c r="G19" s="13" t="s">
        <v>285</v>
      </c>
    </row>
    <row r="20" customFormat="false" ht="23.85" hidden="false" customHeight="false" outlineLevel="0" collapsed="false">
      <c r="A20" s="12" t="s">
        <v>348</v>
      </c>
      <c r="B20" s="12" t="s">
        <v>342</v>
      </c>
      <c r="C20" s="12" t="s">
        <v>31</v>
      </c>
      <c r="D20" s="12" t="s">
        <v>349</v>
      </c>
      <c r="E20" s="12" t="s">
        <v>350</v>
      </c>
      <c r="F20" s="13"/>
      <c r="G20" s="13" t="s">
        <v>285</v>
      </c>
    </row>
    <row r="21" customFormat="false" ht="23.85" hidden="false" customHeight="false" outlineLevel="0" collapsed="false">
      <c r="A21" s="12" t="s">
        <v>351</v>
      </c>
      <c r="B21" s="12" t="s">
        <v>342</v>
      </c>
      <c r="C21" s="12" t="s">
        <v>31</v>
      </c>
      <c r="D21" s="12" t="s">
        <v>352</v>
      </c>
      <c r="E21" s="12" t="s">
        <v>353</v>
      </c>
      <c r="F21" s="13"/>
      <c r="G21" s="13" t="s">
        <v>285</v>
      </c>
    </row>
    <row r="22" customFormat="false" ht="23.85" hidden="false" customHeight="false" outlineLevel="0" collapsed="false">
      <c r="A22" s="12" t="s">
        <v>354</v>
      </c>
      <c r="B22" s="12" t="s">
        <v>342</v>
      </c>
      <c r="C22" s="12" t="s">
        <v>31</v>
      </c>
      <c r="D22" s="12" t="s">
        <v>355</v>
      </c>
      <c r="E22" s="12" t="s">
        <v>356</v>
      </c>
      <c r="F22" s="13"/>
      <c r="G22" s="13" t="s">
        <v>285</v>
      </c>
    </row>
    <row r="23" customFormat="false" ht="23.85" hidden="false" customHeight="false" outlineLevel="0" collapsed="false">
      <c r="A23" s="12" t="s">
        <v>357</v>
      </c>
      <c r="B23" s="12" t="s">
        <v>358</v>
      </c>
      <c r="C23" s="12" t="s">
        <v>31</v>
      </c>
      <c r="D23" s="12" t="s">
        <v>359</v>
      </c>
      <c r="E23" s="12" t="s">
        <v>360</v>
      </c>
      <c r="F23" s="13"/>
      <c r="G23" s="13" t="s">
        <v>285</v>
      </c>
    </row>
    <row r="24" customFormat="false" ht="23.85" hidden="false" customHeight="false" outlineLevel="0" collapsed="false">
      <c r="A24" s="12" t="s">
        <v>361</v>
      </c>
      <c r="B24" s="12" t="s">
        <v>358</v>
      </c>
      <c r="C24" s="12" t="s">
        <v>32</v>
      </c>
      <c r="D24" s="12" t="s">
        <v>362</v>
      </c>
      <c r="E24" s="12" t="s">
        <v>363</v>
      </c>
      <c r="F24" s="13"/>
      <c r="G24" s="13" t="s">
        <v>285</v>
      </c>
    </row>
    <row r="25" customFormat="false" ht="23.85" hidden="false" customHeight="false" outlineLevel="0" collapsed="false">
      <c r="A25" s="12" t="s">
        <v>364</v>
      </c>
      <c r="B25" s="12" t="s">
        <v>365</v>
      </c>
      <c r="C25" s="12" t="s">
        <v>31</v>
      </c>
      <c r="D25" s="12" t="s">
        <v>366</v>
      </c>
      <c r="E25" s="12" t="s">
        <v>367</v>
      </c>
      <c r="F25" s="13"/>
      <c r="G25" s="13" t="s">
        <v>285</v>
      </c>
    </row>
    <row r="26" customFormat="false" ht="23.85" hidden="false" customHeight="false" outlineLevel="0" collapsed="false">
      <c r="A26" s="12" t="s">
        <v>368</v>
      </c>
      <c r="B26" s="12" t="s">
        <v>365</v>
      </c>
      <c r="C26" s="12" t="s">
        <v>31</v>
      </c>
      <c r="D26" s="12" t="s">
        <v>369</v>
      </c>
      <c r="E26" s="12" t="s">
        <v>370</v>
      </c>
      <c r="F26" s="13"/>
      <c r="G26" s="13" t="s">
        <v>285</v>
      </c>
    </row>
    <row r="27" customFormat="false" ht="23.85" hidden="false" customHeight="false" outlineLevel="0" collapsed="false">
      <c r="A27" s="12" t="s">
        <v>371</v>
      </c>
      <c r="B27" s="12" t="s">
        <v>372</v>
      </c>
      <c r="C27" s="12" t="s">
        <v>32</v>
      </c>
      <c r="D27" s="12" t="s">
        <v>373</v>
      </c>
      <c r="E27" s="12" t="s">
        <v>374</v>
      </c>
      <c r="F27" s="13"/>
      <c r="G27" s="13" t="s">
        <v>285</v>
      </c>
    </row>
  </sheetData>
  <autoFilter ref="A1:G27"/>
  <dataValidations count="1">
    <dataValidation allowBlank="true" errorStyle="stop" operator="between" showDropDown="false" showErrorMessage="false" showInputMessage="false" sqref="G2:G27" type="list">
      <formula1>"Open,Accepted,Rejected,Done"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0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1" t="s">
        <v>224</v>
      </c>
      <c r="B1" s="11" t="s">
        <v>375</v>
      </c>
      <c r="C1" s="11" t="s">
        <v>376</v>
      </c>
      <c r="D1" s="11" t="s">
        <v>377</v>
      </c>
      <c r="E1" s="11" t="s">
        <v>378</v>
      </c>
      <c r="F1" s="11" t="s">
        <v>42</v>
      </c>
    </row>
    <row r="2" customFormat="false" ht="23.85" hidden="false" customHeight="false" outlineLevel="0" collapsed="false">
      <c r="A2" s="12" t="s">
        <v>379</v>
      </c>
      <c r="B2" s="12" t="s">
        <v>380</v>
      </c>
      <c r="C2" s="12" t="s">
        <v>381</v>
      </c>
      <c r="D2" s="13"/>
      <c r="E2" s="13"/>
      <c r="F2" s="13" t="s">
        <v>285</v>
      </c>
    </row>
    <row r="3" customFormat="false" ht="23.85" hidden="false" customHeight="false" outlineLevel="0" collapsed="false">
      <c r="A3" s="12" t="s">
        <v>382</v>
      </c>
      <c r="B3" s="12" t="s">
        <v>383</v>
      </c>
      <c r="C3" s="12" t="s">
        <v>384</v>
      </c>
      <c r="D3" s="13"/>
      <c r="E3" s="13"/>
      <c r="F3" s="13" t="s">
        <v>285</v>
      </c>
    </row>
    <row r="4" customFormat="false" ht="23.85" hidden="false" customHeight="false" outlineLevel="0" collapsed="false">
      <c r="A4" s="12" t="s">
        <v>385</v>
      </c>
      <c r="B4" s="12" t="s">
        <v>386</v>
      </c>
      <c r="C4" s="12" t="s">
        <v>387</v>
      </c>
      <c r="D4" s="13"/>
      <c r="E4" s="13"/>
      <c r="F4" s="13" t="s">
        <v>285</v>
      </c>
    </row>
    <row r="5" customFormat="false" ht="15" hidden="false" customHeight="false" outlineLevel="0" collapsed="false">
      <c r="A5" s="12" t="s">
        <v>388</v>
      </c>
      <c r="B5" s="12" t="s">
        <v>389</v>
      </c>
      <c r="C5" s="12" t="s">
        <v>390</v>
      </c>
      <c r="D5" s="13"/>
      <c r="E5" s="13"/>
      <c r="F5" s="13" t="s">
        <v>285</v>
      </c>
    </row>
    <row r="6" customFormat="false" ht="23.85" hidden="false" customHeight="false" outlineLevel="0" collapsed="false">
      <c r="A6" s="12" t="s">
        <v>391</v>
      </c>
      <c r="B6" s="12" t="s">
        <v>392</v>
      </c>
      <c r="C6" s="12" t="s">
        <v>381</v>
      </c>
      <c r="D6" s="13"/>
      <c r="E6" s="13"/>
      <c r="F6" s="13" t="s">
        <v>285</v>
      </c>
    </row>
    <row r="7" customFormat="false" ht="23.85" hidden="false" customHeight="false" outlineLevel="0" collapsed="false">
      <c r="A7" s="12" t="s">
        <v>393</v>
      </c>
      <c r="B7" s="12" t="s">
        <v>394</v>
      </c>
      <c r="C7" s="12" t="s">
        <v>395</v>
      </c>
      <c r="D7" s="13"/>
      <c r="E7" s="13"/>
      <c r="F7" s="13" t="s">
        <v>285</v>
      </c>
    </row>
    <row r="8" customFormat="false" ht="23.85" hidden="false" customHeight="false" outlineLevel="0" collapsed="false">
      <c r="A8" s="12" t="s">
        <v>396</v>
      </c>
      <c r="B8" s="12" t="s">
        <v>397</v>
      </c>
      <c r="C8" s="12" t="s">
        <v>398</v>
      </c>
      <c r="D8" s="13"/>
      <c r="E8" s="13"/>
      <c r="F8" s="13" t="s">
        <v>285</v>
      </c>
    </row>
    <row r="9" customFormat="false" ht="23.85" hidden="false" customHeight="false" outlineLevel="0" collapsed="false">
      <c r="A9" s="12" t="s">
        <v>399</v>
      </c>
      <c r="B9" s="12" t="s">
        <v>400</v>
      </c>
      <c r="C9" s="12" t="s">
        <v>401</v>
      </c>
      <c r="D9" s="13"/>
      <c r="E9" s="13"/>
      <c r="F9" s="13" t="s">
        <v>285</v>
      </c>
    </row>
    <row r="10" customFormat="false" ht="15" hidden="false" customHeight="false" outlineLevel="0" collapsed="false">
      <c r="A10" s="12" t="s">
        <v>402</v>
      </c>
      <c r="B10" s="12" t="s">
        <v>403</v>
      </c>
      <c r="C10" s="12" t="s">
        <v>401</v>
      </c>
      <c r="D10" s="13"/>
      <c r="E10" s="13"/>
      <c r="F10" s="13" t="s">
        <v>285</v>
      </c>
    </row>
    <row r="11" customFormat="false" ht="15" hidden="false" customHeight="false" outlineLevel="0" collapsed="false">
      <c r="A11" s="12" t="s">
        <v>404</v>
      </c>
      <c r="B11" s="12" t="s">
        <v>405</v>
      </c>
      <c r="C11" s="12" t="s">
        <v>390</v>
      </c>
      <c r="D11" s="13"/>
      <c r="E11" s="13"/>
      <c r="F11" s="13" t="s">
        <v>285</v>
      </c>
    </row>
    <row r="12" customFormat="false" ht="23.85" hidden="false" customHeight="false" outlineLevel="0" collapsed="false">
      <c r="A12" s="12" t="s">
        <v>406</v>
      </c>
      <c r="B12" s="12" t="s">
        <v>407</v>
      </c>
      <c r="C12" s="12" t="s">
        <v>408</v>
      </c>
      <c r="D12" s="13"/>
      <c r="E12" s="13"/>
      <c r="F12" s="13" t="s">
        <v>285</v>
      </c>
    </row>
  </sheetData>
  <autoFilter ref="A1:F12"/>
  <dataValidations count="1">
    <dataValidation allowBlank="true" errorStyle="stop" operator="between" showDropDown="false" showErrorMessage="false" showInputMessage="false" sqref="F2:F12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0"/>
    <col collapsed="false" customWidth="true" hidden="false" outlineLevel="0" max="3" min="3" style="0" width="32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1" t="s">
        <v>224</v>
      </c>
      <c r="B1" s="11" t="s">
        <v>409</v>
      </c>
      <c r="C1" s="11" t="s">
        <v>376</v>
      </c>
      <c r="D1" s="11" t="s">
        <v>410</v>
      </c>
      <c r="E1" s="11" t="s">
        <v>42</v>
      </c>
    </row>
    <row r="2" customFormat="false" ht="23.85" hidden="false" customHeight="false" outlineLevel="0" collapsed="false">
      <c r="A2" s="12" t="s">
        <v>411</v>
      </c>
      <c r="B2" s="12" t="s">
        <v>412</v>
      </c>
      <c r="C2" s="12" t="s">
        <v>395</v>
      </c>
      <c r="D2" s="13"/>
      <c r="E2" s="13" t="s">
        <v>285</v>
      </c>
    </row>
    <row r="3" customFormat="false" ht="23.85" hidden="false" customHeight="false" outlineLevel="0" collapsed="false">
      <c r="A3" s="12" t="s">
        <v>413</v>
      </c>
      <c r="B3" s="12" t="s">
        <v>414</v>
      </c>
      <c r="C3" s="12" t="s">
        <v>415</v>
      </c>
      <c r="D3" s="13"/>
      <c r="E3" s="13" t="s">
        <v>285</v>
      </c>
    </row>
    <row r="4" customFormat="false" ht="15" hidden="false" customHeight="false" outlineLevel="0" collapsed="false">
      <c r="A4" s="12" t="s">
        <v>416</v>
      </c>
      <c r="B4" s="12" t="s">
        <v>417</v>
      </c>
      <c r="C4" s="12" t="s">
        <v>384</v>
      </c>
      <c r="D4" s="13"/>
      <c r="E4" s="13" t="s">
        <v>285</v>
      </c>
    </row>
    <row r="5" customFormat="false" ht="15" hidden="false" customHeight="false" outlineLevel="0" collapsed="false">
      <c r="A5" s="12" t="s">
        <v>418</v>
      </c>
      <c r="B5" s="12" t="s">
        <v>419</v>
      </c>
      <c r="C5" s="12" t="s">
        <v>387</v>
      </c>
      <c r="D5" s="13"/>
      <c r="E5" s="13" t="s">
        <v>285</v>
      </c>
    </row>
    <row r="6" customFormat="false" ht="23.85" hidden="false" customHeight="false" outlineLevel="0" collapsed="false">
      <c r="A6" s="12" t="s">
        <v>420</v>
      </c>
      <c r="B6" s="12" t="s">
        <v>421</v>
      </c>
      <c r="C6" s="12" t="s">
        <v>422</v>
      </c>
      <c r="D6" s="13"/>
      <c r="E6" s="13" t="s">
        <v>285</v>
      </c>
    </row>
    <row r="7" customFormat="false" ht="15" hidden="false" customHeight="false" outlineLevel="0" collapsed="false">
      <c r="A7" s="12" t="s">
        <v>423</v>
      </c>
      <c r="B7" s="12" t="s">
        <v>424</v>
      </c>
      <c r="C7" s="12" t="s">
        <v>390</v>
      </c>
      <c r="D7" s="13"/>
      <c r="E7" s="13" t="s">
        <v>285</v>
      </c>
    </row>
    <row r="8" customFormat="false" ht="15" hidden="false" customHeight="false" outlineLevel="0" collapsed="false">
      <c r="A8" s="12" t="s">
        <v>425</v>
      </c>
      <c r="B8" s="12" t="s">
        <v>426</v>
      </c>
      <c r="C8" s="12" t="s">
        <v>398</v>
      </c>
      <c r="D8" s="13"/>
      <c r="E8" s="13" t="s">
        <v>285</v>
      </c>
    </row>
    <row r="9" customFormat="false" ht="15" hidden="false" customHeight="false" outlineLevel="0" collapsed="false">
      <c r="A9" s="12" t="s">
        <v>427</v>
      </c>
      <c r="B9" s="12" t="s">
        <v>428</v>
      </c>
      <c r="C9" s="12" t="s">
        <v>390</v>
      </c>
      <c r="D9" s="13"/>
      <c r="E9" s="13" t="s">
        <v>285</v>
      </c>
    </row>
  </sheetData>
  <autoFilter ref="A1:E9"/>
  <dataValidations count="1">
    <dataValidation allowBlank="true" errorStyle="stop" operator="between" showDropDown="false" showErrorMessage="false" showInputMessage="false" sqref="E2:E9" type="list">
      <formula1>"Open,In progress,Met"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26"/>
  </cols>
  <sheetData>
    <row r="1" customFormat="false" ht="23.85" hidden="false" customHeight="false" outlineLevel="0" collapsed="false">
      <c r="A1" s="11" t="s">
        <v>224</v>
      </c>
      <c r="B1" s="11" t="s">
        <v>429</v>
      </c>
      <c r="C1" s="11" t="s">
        <v>430</v>
      </c>
      <c r="D1" s="11" t="s">
        <v>431</v>
      </c>
      <c r="E1" s="11" t="s">
        <v>376</v>
      </c>
    </row>
    <row r="2" customFormat="false" ht="15" hidden="false" customHeight="false" outlineLevel="0" collapsed="false">
      <c r="A2" s="12" t="s">
        <v>432</v>
      </c>
      <c r="B2" s="12" t="s">
        <v>433</v>
      </c>
      <c r="C2" s="12" t="s">
        <v>434</v>
      </c>
      <c r="D2" s="12" t="s">
        <v>435</v>
      </c>
      <c r="E2" s="12" t="s">
        <v>415</v>
      </c>
    </row>
    <row r="3" customFormat="false" ht="23.85" hidden="false" customHeight="false" outlineLevel="0" collapsed="false">
      <c r="A3" s="12" t="s">
        <v>436</v>
      </c>
      <c r="B3" s="12" t="s">
        <v>437</v>
      </c>
      <c r="C3" s="12" t="s">
        <v>438</v>
      </c>
      <c r="D3" s="12" t="s">
        <v>439</v>
      </c>
      <c r="E3" s="12" t="s">
        <v>395</v>
      </c>
    </row>
    <row r="4" customFormat="false" ht="23.85" hidden="false" customHeight="false" outlineLevel="0" collapsed="false">
      <c r="A4" s="12" t="s">
        <v>440</v>
      </c>
      <c r="B4" s="12" t="s">
        <v>441</v>
      </c>
      <c r="C4" s="12" t="s">
        <v>442</v>
      </c>
      <c r="D4" s="12" t="s">
        <v>443</v>
      </c>
      <c r="E4" s="12" t="s">
        <v>395</v>
      </c>
    </row>
    <row r="5" customFormat="false" ht="15" hidden="false" customHeight="false" outlineLevel="0" collapsed="false">
      <c r="A5" s="12" t="s">
        <v>444</v>
      </c>
      <c r="B5" s="12" t="s">
        <v>445</v>
      </c>
      <c r="C5" s="12" t="s">
        <v>442</v>
      </c>
      <c r="D5" s="12" t="s">
        <v>446</v>
      </c>
      <c r="E5" s="12" t="s">
        <v>390</v>
      </c>
    </row>
    <row r="6" customFormat="false" ht="15" hidden="false" customHeight="false" outlineLevel="0" collapsed="false">
      <c r="A6" s="12" t="s">
        <v>447</v>
      </c>
      <c r="B6" s="12" t="s">
        <v>448</v>
      </c>
      <c r="C6" s="12" t="s">
        <v>449</v>
      </c>
      <c r="D6" s="12" t="s">
        <v>450</v>
      </c>
      <c r="E6" s="12" t="s">
        <v>384</v>
      </c>
    </row>
    <row r="7" customFormat="false" ht="15" hidden="false" customHeight="false" outlineLevel="0" collapsed="false">
      <c r="A7" s="12" t="s">
        <v>451</v>
      </c>
      <c r="B7" s="12" t="s">
        <v>452</v>
      </c>
      <c r="C7" s="12" t="s">
        <v>449</v>
      </c>
      <c r="D7" s="12" t="s">
        <v>453</v>
      </c>
      <c r="E7" s="12" t="s">
        <v>401</v>
      </c>
    </row>
    <row r="8" customFormat="false" ht="23.85" hidden="false" customHeight="false" outlineLevel="0" collapsed="false">
      <c r="A8" s="12" t="s">
        <v>454</v>
      </c>
      <c r="B8" s="12" t="s">
        <v>455</v>
      </c>
      <c r="C8" s="12" t="s">
        <v>456</v>
      </c>
      <c r="D8" s="12" t="s">
        <v>457</v>
      </c>
      <c r="E8" s="12" t="s">
        <v>398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2026-10-20T16:48:54Z</dcterms:created>
  <dc:creator>openpyxl</dc:creator>
  <dc:description/>
  <dc:language>en-US</dc:language>
  <cp:lastModifiedBy/>
  <dcterms:modified xsi:type="dcterms:W3CDTF">2026-10-20T16:48:54Z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