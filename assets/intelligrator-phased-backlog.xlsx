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ase Plan" sheetId="1" state="visible" r:id="rId3"/>
    <sheet name="Backlog" sheetId="2" state="visible" r:id="rId4"/>
    <sheet name="Acceptance Criteria" sheetId="3" state="visible" r:id="rId5"/>
  </sheets>
  <definedNames>
    <definedName function="false" hidden="true" localSheetId="2" name="_xlnm._FilterDatabase" vbProcedure="false">'Acceptance Criteria'!$A$1:$G$283</definedName>
    <definedName function="false" hidden="true" localSheetId="1" name="_xlnm._FilterDatabase" vbProcedure="false">Backlog!$A$1:$O$66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<sst xmlns="http://schemas.openxmlformats.org/spreadsheetml/2006/main" count="1887" uniqueCount="605">
  <si>
    <t xml:space="preserve">Intelligrator — Phased Productionisation Plan</t>
  </si>
  <si>
    <t xml:space="preserve">6 phases · 60 weeks · MVP live at week 14 · Boomi iPaaS, native MFT (Thru), API Management</t>
  </si>
  <si>
    <t xml:space="preserve">Version 2.0  ·  14 July 2026</t>
  </si>
  <si>
    <t xml:space="preserve">Phase</t>
  </si>
  <si>
    <t xml:space="preserve">Name</t>
  </si>
  <si>
    <t xml:space="preserve">Theme</t>
  </si>
  <si>
    <t xml:space="preserve">Weeks</t>
  </si>
  <si>
    <t xml:space="preserve">Start Wk</t>
  </si>
  <si>
    <t xml:space="preserve">End Wk</t>
  </si>
  <si>
    <t xml:space="preserve">Stories</t>
  </si>
  <si>
    <t xml:space="preserve">Points</t>
  </si>
  <si>
    <t xml:space="preserve">Must</t>
  </si>
  <si>
    <t xml:space="preserve">Should</t>
  </si>
  <si>
    <t xml:space="preserve">Could</t>
  </si>
  <si>
    <t xml:space="preserve">Goal</t>
  </si>
  <si>
    <t xml:space="preserve">P0</t>
  </si>
  <si>
    <t xml:space="preserve">Foundations</t>
  </si>
  <si>
    <t xml:space="preserve">Platform enablement</t>
  </si>
  <si>
    <t xml:space="preserve">Weeks 1–4</t>
  </si>
  <si>
    <t xml:space="preserve">Build the spine that every later phase sits on. Nothing user-facing ships in this phase — and that is the point.</t>
  </si>
  <si>
    <t xml:space="preserve">P1</t>
  </si>
  <si>
    <t xml:space="preserve">MVP — MFT Self-Service</t>
  </si>
  <si>
    <t xml:space="preserve">The one that proves it</t>
  </si>
  <si>
    <t xml:space="preserve">Weeks 3–14</t>
  </si>
  <si>
    <t xml:space="preserve">A user logs in with a username and password, submits a Managed File Transfer request, an admin accepts or rejects it, and an approved request is provisioned automatically with no human touching Boomi.</t>
  </si>
  <si>
    <t xml:space="preserve">P2</t>
  </si>
  <si>
    <t xml:space="preserve">API Onboarding, Build &amp; Composition</t>
  </si>
  <si>
    <t xml:space="preserve">Contract in, API out</t>
  </si>
  <si>
    <t xml:space="preserve">Weeks 15–28</t>
  </si>
  <si>
    <t xml:space="preserve">A user uploads an OpenAPI specification, the platform validates it, builds and deploys the API automatically, and lets them compose several published APIs into a single mashup — all without a developer writing a Boomi process.</t>
  </si>
  <si>
    <t xml:space="preserve">P3</t>
  </si>
  <si>
    <t xml:space="preserve">Enterprise Identity, Governance &amp; Scale</t>
  </si>
  <si>
    <t xml:space="preserve">Production-grade</t>
  </si>
  <si>
    <t xml:space="preserve">Weeks 29–38</t>
  </si>
  <si>
    <t xml:space="preserve">Replace the MVP's local login with enterprise SSO, add the controls an auditor will actually test, and take the service to production at scale.</t>
  </si>
  <si>
    <t xml:space="preserve">P4</t>
  </si>
  <si>
    <t xml:space="preserve">Event-Driven Onboarding</t>
  </si>
  <si>
    <t xml:space="preserve">The third pattern family</t>
  </si>
  <si>
    <t xml:space="preserve">Weeks 39–48</t>
  </si>
  <si>
    <t xml:space="preserve">Extend the same front door to event streaming: AsyncAPI contracts, a browsable event catalogue, and a schema registry that refuses an incompatible change.</t>
  </si>
  <si>
    <t xml:space="preserve">P5</t>
  </si>
  <si>
    <t xml:space="preserve">Optimise, Automate &amp; Retire</t>
  </si>
  <si>
    <t xml:space="preserve">Retire the legacy tail</t>
  </si>
  <si>
    <t xml:space="preserve">Weeks 49–60</t>
  </si>
  <si>
    <t xml:space="preserve">Make the estate self-maintaining, make its cost visible, and use the portal to industrialise the migration off the legacy integration estate.</t>
  </si>
  <si>
    <t xml:space="preserve">TOTAL</t>
  </si>
  <si>
    <t xml:space="preserve">Milestones — written as tests, not deliverables</t>
  </si>
  <si>
    <t xml:space="preserve">ID</t>
  </si>
  <si>
    <t xml:space="preserve">Week</t>
  </si>
  <si>
    <t xml:space="preserve">Milestone</t>
  </si>
  <si>
    <t xml:space="preserve">The test it must pass</t>
  </si>
  <si>
    <t xml:space="preserve">M0</t>
  </si>
  <si>
    <t xml:space="preserve">W4</t>
  </si>
  <si>
    <t xml:space="preserve">Foundations ready</t>
  </si>
  <si>
    <t xml:space="preserve">A hand-inserted config row moves a file end-to-end. No component created.</t>
  </si>
  <si>
    <t xml:space="preserve">M1</t>
  </si>
  <si>
    <t xml:space="preserve">W14</t>
  </si>
  <si>
    <t xml:space="preserve">MVP live</t>
  </si>
  <si>
    <t xml:space="preserve">A non-Boomi user self-serves a live SFTP interface. Approval → provisioned, automatically.</t>
  </si>
  <si>
    <t xml:space="preserve">M2</t>
  </si>
  <si>
    <t xml:space="preserve">W22</t>
  </si>
  <si>
    <t xml:space="preserve">Contract-to-API build</t>
  </si>
  <si>
    <t xml:space="preserve">An uploaded OpenAPI file becomes a live, secured, rate-limited API with no manual Boomi work.</t>
  </si>
  <si>
    <t xml:space="preserve">M3</t>
  </si>
  <si>
    <t xml:space="preserve">W28</t>
  </si>
  <si>
    <t xml:space="preserve">First mashup in production</t>
  </si>
  <si>
    <t xml:space="preserve">Three published APIs composed into one composite. Boomi component count unchanged.</t>
  </si>
  <si>
    <t xml:space="preserve">M4</t>
  </si>
  <si>
    <t xml:space="preserve">W38</t>
  </si>
  <si>
    <t xml:space="preserve">SSO cutover · production at scale</t>
  </si>
  <si>
    <t xml:space="preserve">Local login switched off. Full pre-check engine and step-up MFA live. WCAG 2.2 AA passed.</t>
  </si>
  <si>
    <t xml:space="preserve">M5</t>
  </si>
  <si>
    <t xml:space="preserve">W48</t>
  </si>
  <si>
    <t xml:space="preserve">Event-driven onboarding</t>
  </si>
  <si>
    <t xml:space="preserve">Publisher and subscriber onboarded through the portal. Incompatible schema rejected at submission.</t>
  </si>
  <si>
    <t xml:space="preserve">M6</t>
  </si>
  <si>
    <t xml:space="preserve">W60</t>
  </si>
  <si>
    <t xml:space="preserve">Migration engine live</t>
  </si>
  <si>
    <t xml:space="preserve">A legacy inventory bulk-onboarded through the same controls. Dormant tail shrinking.</t>
  </si>
  <si>
    <t xml:space="preserve">Legend / how to use</t>
  </si>
  <si>
    <t xml:space="preserve">• Yellow-filled, blue-text cells are yours to fill in: Sprint, Status, Owner, Notes (Backlog sheet); Test Ref, Pass/Fail (Acceptance Criteria sheet).</t>
  </si>
  <si>
    <t xml:space="preserve">• Every other cell is source content or a formula. The Phase Plan sheet recalculates from the Backlog sheet — do not overtype it.</t>
  </si>
  <si>
    <t xml:space="preserve">• Filter the Backlog sheet by column A (Phase) to get a sprintable list for the phase you are planning.</t>
  </si>
  <si>
    <t xml:space="preserve">• Story IDs are stable across versions and are the join key to the Acceptance Criteria sheet. Do not renumber them.</t>
  </si>
  <si>
    <t xml:space="preserve">• Example row: Sprint = "P1-S2", Status = "Ready", Owner = "A. Patel", Notes = "Blocked on IdP abstraction (Phase 0)".</t>
  </si>
  <si>
    <t xml:space="preserve">• Points are planning-poker estimates carried from refinement. They are inputs, not calculations.</t>
  </si>
  <si>
    <t xml:space="preserve">• Phase 0 carries no user stories by design — it is technical enabler work tracked separately.</t>
  </si>
  <si>
    <t xml:space="preserve">Phase Name</t>
  </si>
  <si>
    <t xml:space="preserve">Story ID</t>
  </si>
  <si>
    <t xml:space="preserve">Epic</t>
  </si>
  <si>
    <t xml:space="preserve">Epic Name</t>
  </si>
  <si>
    <t xml:space="preserve">Persona</t>
  </si>
  <si>
    <t xml:space="preserve">Title</t>
  </si>
  <si>
    <t xml:space="preserve">User Story</t>
  </si>
  <si>
    <t xml:space="preserve">Priority</t>
  </si>
  <si>
    <t xml:space="preserve">AC Count</t>
  </si>
  <si>
    <t xml:space="preserve">Sprint</t>
  </si>
  <si>
    <t xml:space="preserve">Status</t>
  </si>
  <si>
    <t xml:space="preserve">Owner</t>
  </si>
  <si>
    <t xml:space="preserve">Notes</t>
  </si>
  <si>
    <t xml:space="preserve">ACC-01</t>
  </si>
  <si>
    <t xml:space="preserve">E1</t>
  </si>
  <si>
    <t xml:space="preserve">Portal Access &amp; Identity</t>
  </si>
  <si>
    <t xml:space="preserve">Standard User</t>
  </si>
  <si>
    <t xml:space="preserve">Discover the portal and understand what it is for</t>
  </si>
  <si>
    <t xml:space="preserve">As a Standard User, I want a landing page that explains what Intelligrator onboards and what it does not, so that I do not waste time submitting a request the portal cannot service.</t>
  </si>
  <si>
    <t xml:space="preserve">Not started</t>
  </si>
  <si>
    <t xml:space="preserve">ACC-03</t>
  </si>
  <si>
    <t xml:space="preserve">Role-based landing dashboard</t>
  </si>
  <si>
    <t xml:space="preserve">As a Standard User, I want a dashboard on sign-in showing my requests and a clear call to action to raise a new one, so that I can pick up where I left off in one click.</t>
  </si>
  <si>
    <t xml:space="preserve">ACC-04</t>
  </si>
  <si>
    <t xml:space="preserve">Organisation and service-line context</t>
  </si>
  <si>
    <t xml:space="preserve">As a Standard User, I want my requests automatically associated with my organisation and service line, so that approval routing and ownership are correct without manual entry.</t>
  </si>
  <si>
    <t xml:space="preserve">ACC-05</t>
  </si>
  <si>
    <t xml:space="preserve">Secure session handling and sign-out</t>
  </si>
  <si>
    <t xml:space="preserve">As a Standard User, I want my session to expire on inactivity and to be able to sign out explicitly, so that an unattended machine cannot be used to submit or approve requests.</t>
  </si>
  <si>
    <t xml:space="preserve">ACC-06</t>
  </si>
  <si>
    <t xml:space="preserve">Sign in with a username and password (MVP authentication)</t>
  </si>
  <si>
    <t xml:space="preserve">As a Standard User, I want to sign in with a username and password, so that I can use the portal in the MVP before enterprise single sign-on is available.</t>
  </si>
  <si>
    <t xml:space="preserve">ACC-07</t>
  </si>
  <si>
    <t xml:space="preserve">MFT Admin</t>
  </si>
  <si>
    <t xml:space="preserve">Register an account and have it approved by an administrator</t>
  </si>
  <si>
    <t xml:space="preserve">As an MFT Admin, I want new accounts to require my approval before they become active, so that the MVP's local login does not become an open door.</t>
  </si>
  <si>
    <t xml:space="preserve">ADM-02</t>
  </si>
  <si>
    <t xml:space="preserve">E6</t>
  </si>
  <si>
    <t xml:space="preserve">Admin Access &amp; Approval Queue</t>
  </si>
  <si>
    <t xml:space="preserve">Work an approval queue prioritised by risk and SLA</t>
  </si>
  <si>
    <t xml:space="preserve">As an MFT Admin, I want a single queue of everything awaiting my decision, ordered so the urgent and risky surface first, so that I spend my attention where it matters.</t>
  </si>
  <si>
    <t xml:space="preserve">ADM-03</t>
  </si>
  <si>
    <t xml:space="preserve">Open a request and see the complete submission</t>
  </si>
  <si>
    <t xml:space="preserve">As an MFT Admin, I want to see everything the requester submitted on one screen, so that I can make a decision without hunting through attachments or emailing for context.</t>
  </si>
  <si>
    <t xml:space="preserve">AUD-01</t>
  </si>
  <si>
    <t xml:space="preserve">E9</t>
  </si>
  <si>
    <t xml:space="preserve">Audit, Reporting &amp; NFRs</t>
  </si>
  <si>
    <t xml:space="preserve">Maintain an immutable audit trail</t>
  </si>
  <si>
    <t xml:space="preserve">As an MFT Admin, I want every action on every request permanently recorded, so that I can demonstrate to an auditor exactly who approved what, when and on what basis.</t>
  </si>
  <si>
    <t xml:space="preserve">DEC-01</t>
  </si>
  <si>
    <t xml:space="preserve">E7</t>
  </si>
  <si>
    <t xml:space="preserve">Decision: Accept / Reject</t>
  </si>
  <si>
    <t xml:space="preserve">Approve a request</t>
  </si>
  <si>
    <t xml:space="preserve">As an MFT Admin, I want to approve a request with a recorded rationale, so that the interface can be provisioned and the decision is defensible after the fact.</t>
  </si>
  <si>
    <t xml:space="preserve">DEC-02</t>
  </si>
  <si>
    <t xml:space="preserve">Reject a request with a reason the requester can act on</t>
  </si>
  <si>
    <t xml:space="preserve">As an MFT Admin, I want to reject a request with a structured reason, so that the requester understands precisely what to fix and does not simply resubmit the same thing.</t>
  </si>
  <si>
    <t xml:space="preserve">DEC-03</t>
  </si>
  <si>
    <t xml:space="preserve">Return a request for more information</t>
  </si>
  <si>
    <t xml:space="preserve">As an MFT Admin, I want to ask the requester a question without rejecting the request outright, so that a single missing detail does not cost the requester a full resubmission.</t>
  </si>
  <si>
    <t xml:space="preserve">DEC-06</t>
  </si>
  <si>
    <t xml:space="preserve">Enforce segregation of duties</t>
  </si>
  <si>
    <t xml:space="preserve">As an MFT Admin, I want the platform to make it impossible for anyone to approve their own request, so that the control is guaranteed by the system rather than by good behaviour.</t>
  </si>
  <si>
    <t xml:space="preserve">MFT-01</t>
  </si>
  <si>
    <t xml:space="preserve">E3</t>
  </si>
  <si>
    <t xml:space="preserve">MFT Request Submission</t>
  </si>
  <si>
    <t xml:space="preserve">Capture MFT interface identity and ownership</t>
  </si>
  <si>
    <t xml:space="preserve">As a Standard User, I want to name my file transfer interface and record who owns it, so that it can be uniquely identified, supported and charged correctly for its whole life.</t>
  </si>
  <si>
    <t xml:space="preserve">MFT-02</t>
  </si>
  <si>
    <t xml:space="preserve">Define source and target endpoints and transfer direction</t>
  </si>
  <si>
    <t xml:space="preserve">As a Standard User, I want to declare where the file comes from and where it goes, and by what protocol, so that the generic MFT engine can be configured without any bespoke build.</t>
  </si>
  <si>
    <t xml:space="preserve">MFT-03</t>
  </si>
  <si>
    <t xml:space="preserve">Specify file characteristics and volumetrics</t>
  </si>
  <si>
    <t xml:space="preserve">As a Standard User, I want to describe the files themselves, so that the platform can validate what arrives and capacity-plan for it.</t>
  </si>
  <si>
    <t xml:space="preserve">MFT-04</t>
  </si>
  <si>
    <t xml:space="preserve">Specify the trigger: event-driven, polled or scheduled</t>
  </si>
  <si>
    <t xml:space="preserve">As a Standard User, I want to declare how the transfer is initiated, so that the engine either watches, polls or schedules it correctly.</t>
  </si>
  <si>
    <t xml:space="preserve">MFT-05</t>
  </si>
  <si>
    <t xml:space="preserve">Declare security: keys, certificates, encryption and allow-listing</t>
  </si>
  <si>
    <t xml:space="preserve">As a Standard User, I want to supply or request the credentials and encryption my transfer needs, so that the interface is secure by default and no secret is ever emailed.</t>
  </si>
  <si>
    <t xml:space="preserve">MFT-06</t>
  </si>
  <si>
    <t xml:space="preserve">Declare data classification and residency</t>
  </si>
  <si>
    <t xml:space="preserve">As a Standard User, I want to classify the data in the files and state where it may reside, so that the approver can assess risk and the platform can route the transfer to a compliant region.</t>
  </si>
  <si>
    <t xml:space="preserve">MFT-07</t>
  </si>
  <si>
    <t xml:space="preserve">Configure error handling, retries and alert routing</t>
  </si>
  <si>
    <t xml:space="preserve">As a Standard User, I want to say what should happen when a transfer fails and who should be told, so that failures are handled predictably and reach the right team.</t>
  </si>
  <si>
    <t xml:space="preserve">MFT-08</t>
  </si>
  <si>
    <t xml:space="preserve">Select environments and promotion path</t>
  </si>
  <si>
    <t xml:space="preserve">As a Standard User, I want to request the interface in a specific environment and understand the path to production, so that expectations about go-live are clear from the outset.</t>
  </si>
  <si>
    <t xml:space="preserve">MFT-09</t>
  </si>
  <si>
    <t xml:space="preserve">Review the generated config row before submitting</t>
  </si>
  <si>
    <t xml:space="preserve">As a Standard User, I want to see exactly what configuration my answers will produce, so that I can confirm it is right before it goes for approval — and so I can see that no bespoke build is being requested on my behalf.</t>
  </si>
  <si>
    <t xml:space="preserve">MFT-10</t>
  </si>
  <si>
    <t xml:space="preserve">Submit the MFT request for approval</t>
  </si>
  <si>
    <t xml:space="preserve">As a Standard User, I want to submit my completed MFT request, so that it enters the approval queue and I get a reference I can quote.</t>
  </si>
  <si>
    <t xml:space="preserve">PRV-01</t>
  </si>
  <si>
    <t xml:space="preserve">E8</t>
  </si>
  <si>
    <t xml:space="preserve">Provisioning on Approval</t>
  </si>
  <si>
    <t xml:space="preserve">Platform Engineer</t>
  </si>
  <si>
    <t xml:space="preserve">Approval writes a configuration row — not a new component</t>
  </si>
  <si>
    <t xml:space="preserve">As a Platform Engineer, I want an approved request to become a row in the config store consumed by the existing generic engine, so that the estate does not accumulate one Boomi component per interface.</t>
  </si>
  <si>
    <t xml:space="preserve">PRV-02</t>
  </si>
  <si>
    <t xml:space="preserve">Issue credentials securely on approval</t>
  </si>
  <si>
    <t xml:space="preserve">As a Standard User, I want any keys or credentials my interface needs to be issued and delivered securely, so that no secret is ever sent by email or displayed in a page I might screenshot.</t>
  </si>
  <si>
    <t xml:space="preserve">PRV-03</t>
  </si>
  <si>
    <t xml:space="preserve">See provisioning succeed or fail, and roll back cleanly</t>
  </si>
  <si>
    <t xml:space="preserve">As an MFT Admin, I want to know whether the approval actually resulted in a working interface, so that an approved-but-broken interface does not sit undetected.</t>
  </si>
  <si>
    <t xml:space="preserve">REQ-01</t>
  </si>
  <si>
    <t xml:space="preserve">E2</t>
  </si>
  <si>
    <t xml:space="preserve">Request Initiation &amp; Guidance</t>
  </si>
  <si>
    <t xml:space="preserve">Choose the request type: MFT or API</t>
  </si>
  <si>
    <t xml:space="preserve">As a Standard User, I want to choose whether I am requesting a file transfer or an API, so that I am shown only the fields relevant to my interface.</t>
  </si>
  <si>
    <t xml:space="preserve">REQ-03</t>
  </si>
  <si>
    <t xml:space="preserve">Save a draft and resume later</t>
  </si>
  <si>
    <t xml:space="preserve">As a Standard User, I want to save a partially completed request and come back to it, so that I can go and find information I do not have to hand without losing my work.</t>
  </si>
  <si>
    <t xml:space="preserve">TRK-01</t>
  </si>
  <si>
    <t xml:space="preserve">E5</t>
  </si>
  <si>
    <t xml:space="preserve">Track, Amend &amp; Withdraw</t>
  </si>
  <si>
    <t xml:space="preserve">Track the status of my requests</t>
  </si>
  <si>
    <t xml:space="preserve">As a Standard User, I want to see where each of my requests is in the approval process, so that I do not have to chase anyone to find out.</t>
  </si>
  <si>
    <t xml:space="preserve">TRK-02</t>
  </si>
  <si>
    <t xml:space="preserve">Be notified when a decision or query is raised</t>
  </si>
  <si>
    <t xml:space="preserve">As a Standard User, I want to be notified when my request is approved, rejected or queried, so that I can act without watching the portal.</t>
  </si>
  <si>
    <t xml:space="preserve">TRK-03</t>
  </si>
  <si>
    <t xml:space="preserve">Respond to a request for more information</t>
  </si>
  <si>
    <t xml:space="preserve">As a Standard User, I want to answer an approver's query and resubmit, so that a query does not force me to start again.</t>
  </si>
  <si>
    <t xml:space="preserve">TRK-05</t>
  </si>
  <si>
    <t xml:space="preserve">Withdraw a request</t>
  </si>
  <si>
    <t xml:space="preserve">As a Standard User, I want to withdraw a request that is no longer needed, so that I do not consume approver time on work that has been cancelled.</t>
  </si>
  <si>
    <t xml:space="preserve">API-01</t>
  </si>
  <si>
    <t xml:space="preserve">E4</t>
  </si>
  <si>
    <t xml:space="preserve">API Request Submission</t>
  </si>
  <si>
    <t xml:space="preserve">Capture API identity, ownership and consumer intent</t>
  </si>
  <si>
    <t xml:space="preserve">As a Standard User, I want to record what API I am publishing or consuming and who owns it, so that it can be governed, discovered and supported.</t>
  </si>
  <si>
    <t xml:space="preserve">API-02</t>
  </si>
  <si>
    <t xml:space="preserve">Provide the contract first — OpenAPI or AsyncAPI</t>
  </si>
  <si>
    <t xml:space="preserve">As a Standard User, I want to upload or link my API contract as the primary artefact of the request, so that the design is agreed before anything is provisioned.</t>
  </si>
  <si>
    <t xml:space="preserve">API-03</t>
  </si>
  <si>
    <t xml:space="preserve">Declare the interaction style with NFR-driven justification</t>
  </si>
  <si>
    <t xml:space="preserve">As a Standard User, I want to declare whether my API is synchronous request/response, asynchronous, or publish/subscribe, and justify it against NFRs, so that the platform is not asked to expose an unsuitable back-end behind a blocking call.</t>
  </si>
  <si>
    <t xml:space="preserve">API-04</t>
  </si>
  <si>
    <t xml:space="preserve">Define the authentication and authorisation model</t>
  </si>
  <si>
    <t xml:space="preserve">As a Standard User, I want to declare how consumers of my API will authenticate, so that the correct gateway policy is applied and no unprotected endpoint is ever published.</t>
  </si>
  <si>
    <t xml:space="preserve">API-05</t>
  </si>
  <si>
    <t xml:space="preserve">Declare traffic profile, rate limits and service levels</t>
  </si>
  <si>
    <t xml:space="preserve">As a Standard User, I want to declare my expected load and required service level, so that gateway throttling is set correctly and the platform can capacity-plan.</t>
  </si>
  <si>
    <t xml:space="preserve">API-06</t>
  </si>
  <si>
    <t xml:space="preserve">Select environment, routing and gateway policy set</t>
  </si>
  <si>
    <t xml:space="preserve">As a Standard User, I want to declare the environment and back-end routing for my API, so that the gateway can be configured from my request without a bespoke build.</t>
  </si>
  <si>
    <t xml:space="preserve">API-07</t>
  </si>
  <si>
    <t xml:space="preserve">Review and submit the API request</t>
  </si>
  <si>
    <t xml:space="preserve">As a Standard User, I want to review the full API request and submit it, so that it enters the approval queue with a reference I can quote.</t>
  </si>
  <si>
    <t xml:space="preserve">API-08</t>
  </si>
  <si>
    <t xml:space="preserve">Build and deploy my API automatically from the uploaded contract</t>
  </si>
  <si>
    <t xml:space="preserve">As a Standard User, I want the platform to build and deploy my API directly from the OpenAPI specification I uploaded, so that I get a working, secured endpoint without a developer writing a single Boomi process.</t>
  </si>
  <si>
    <t xml:space="preserve">API-09</t>
  </si>
  <si>
    <t xml:space="preserve">Test my API in a sandbox before I submit it</t>
  </si>
  <si>
    <t xml:space="preserve">As a Standard User, I want a working mock of my API generated from my contract, so that I can prove the design works before I ask anyone to approve it.</t>
  </si>
  <si>
    <t xml:space="preserve">API-10</t>
  </si>
  <si>
    <t xml:space="preserve">Compose a mashup of published APIs</t>
  </si>
  <si>
    <t xml:space="preserve">As a Standard User, I want to compose several published APIs into a single composite API, so that my consumer makes one call instead of orchestrating four — and so that I do not have to ask for a bespoke integration to be built.</t>
  </si>
  <si>
    <t xml:space="preserve">API-11</t>
  </si>
  <si>
    <t xml:space="preserve">Map and shape the composite response</t>
  </si>
  <si>
    <t xml:space="preserve">As a Standard User, I want to define how the responses from my mashup's sources are combined into one response, so that my consumer gets the shape they asked for rather than a bag of nested payloads.</t>
  </si>
  <si>
    <t xml:space="preserve">API-12</t>
  </si>
  <si>
    <t xml:space="preserve">Version, deprecate and retire a published API</t>
  </si>
  <si>
    <t xml:space="preserve">As a Standard User, I want to publish a new version of my API without breaking my existing consumers, so that change does not become an outage.</t>
  </si>
  <si>
    <t xml:space="preserve">API-13</t>
  </si>
  <si>
    <t xml:space="preserve">Discover and subscribe to a published API as a consumer</t>
  </si>
  <si>
    <t xml:space="preserve">As a Standard User, I want to find an existing API in the catalogue and request access to it, so that I do not build a duplicate of something the department already has.</t>
  </si>
  <si>
    <t xml:space="preserve">REQ-02</t>
  </si>
  <si>
    <t xml:space="preserve">Guided pattern selection with anti-pattern detection</t>
  </si>
  <si>
    <t xml:space="preserve">As a Standard User, I want the portal to ask me about my non-functional needs and recommend the right interaction style, so that I do not accidentally request an async workload disguised as a synchronous API.</t>
  </si>
  <si>
    <t xml:space="preserve">ACC-02</t>
  </si>
  <si>
    <t xml:space="preserve">Sign in with departmental single sign-on</t>
  </si>
  <si>
    <t xml:space="preserve">As a Standard User, I want to sign in using my existing departmental identity via SSO, so that I do not need another credential and my access reflects my organisational role.</t>
  </si>
  <si>
    <t xml:space="preserve">ADM-01</t>
  </si>
  <si>
    <t xml:space="preserve">Sign in as an administrator with step-up authentication</t>
  </si>
  <si>
    <t xml:space="preserve">As an MFT Admin, I want to sign in with my elevated role and complete a step-up authentication challenge, so that approval authority cannot be exercised from a merely-authenticated session.</t>
  </si>
  <si>
    <t xml:space="preserve">ADM-04</t>
  </si>
  <si>
    <t xml:space="preserve">See the automated pre-check results before deciding</t>
  </si>
  <si>
    <t xml:space="preserve">As an MFT Admin, I want the platform to have already checked the mechanical things, so that my review is spent on judgement rather than on validation a machine could do.</t>
  </si>
  <si>
    <t xml:space="preserve">AUD-02</t>
  </si>
  <si>
    <t xml:space="preserve">Report on throughput, SLA and rejection reasons</t>
  </si>
  <si>
    <t xml:space="preserve">As an MFT Admin, I want to see how the onboarding service is actually performing, so that I can fix the causes of rejection rather than just processing the symptoms.</t>
  </si>
  <si>
    <t xml:space="preserve">DEC-04</t>
  </si>
  <si>
    <t xml:space="preserve">Approve conditionally, with binding conditions</t>
  </si>
  <si>
    <t xml:space="preserve">As an MFT Admin, I want to approve a request subject to stated conditions, so that a low-risk interface is not held up while a non-blocking issue is resolved.</t>
  </si>
  <si>
    <t xml:space="preserve">DEC-05</t>
  </si>
  <si>
    <t xml:space="preserve">Reassign or delegate a request to another approver</t>
  </si>
  <si>
    <t xml:space="preserve">As an MFT Admin, I want to hand a request to a colleague, so that absence or a specialist question does not stall the queue.</t>
  </si>
  <si>
    <t xml:space="preserve">DEC-07</t>
  </si>
  <si>
    <t xml:space="preserve">Fast-path approval for low-risk requests</t>
  </si>
  <si>
    <t xml:space="preserve">As an MFT Admin, I want to approve a batch of requests that passed every pre-check and carry no risk flags, so that routine non-production work does not consume the same effort as a production change.</t>
  </si>
  <si>
    <t xml:space="preserve">NFR-01</t>
  </si>
  <si>
    <t xml:space="preserve">All</t>
  </si>
  <si>
    <t xml:space="preserve">Meet accessibility standards</t>
  </si>
  <si>
    <t xml:space="preserve">As any user, I want the portal to be usable with assistive technology, so that the service is available to every colleague and meets the department's legal obligation.</t>
  </si>
  <si>
    <t xml:space="preserve">NFR-02</t>
  </si>
  <si>
    <t xml:space="preserve">Meet performance and availability targets</t>
  </si>
  <si>
    <t xml:space="preserve">As any user, I want the portal to be responsive and available, so that it is faster to self-serve than to raise a ticket — otherwise nobody will use it.</t>
  </si>
  <si>
    <t xml:space="preserve">EVT-01</t>
  </si>
  <si>
    <t xml:space="preserve">Onboard an event-driven interface with an AsyncAPI contract</t>
  </si>
  <si>
    <t xml:space="preserve">As a Standard User, I want to onboard a publisher or subscriber using an AsyncAPI contract, so that event streaming goes through the same front door and the same governance as everything else.</t>
  </si>
  <si>
    <t xml:space="preserve">EVT-02</t>
  </si>
  <si>
    <t xml:space="preserve">Browse the event catalogue</t>
  </si>
  <si>
    <t xml:space="preserve">As a Standard User, I want to see what events the department already publishes, so that I consume an existing stream instead of asking a team to build me a point-to-point feed.</t>
  </si>
  <si>
    <t xml:space="preserve">EVT-03</t>
  </si>
  <si>
    <t xml:space="preserve">Enforce schema compatibility through a registry</t>
  </si>
  <si>
    <t xml:space="preserve">As a Platform Engineer, I want an incompatible schema change to be rejected at submission, so that a producer cannot break every subscriber at runtime.</t>
  </si>
  <si>
    <t xml:space="preserve">EVT-04</t>
  </si>
  <si>
    <t xml:space="preserve">Approve event interfaces with event-specific pre-checks</t>
  </si>
  <si>
    <t xml:space="preserve">As an MFT Admin, I want event requests to arrive with event-specific pre-checks already performed, so that I am not asked to eyeball a schema by hand.</t>
  </si>
  <si>
    <t xml:space="preserve">OPS-01</t>
  </si>
  <si>
    <t xml:space="preserve">See the health and usage of the interfaces I own</t>
  </si>
  <si>
    <t xml:space="preserve">As a Standard User, I want a dashboard for the interfaces I own, so that I find out my transfer is failing before the business does.</t>
  </si>
  <si>
    <t xml:space="preserve">OPS-02</t>
  </si>
  <si>
    <t xml:space="preserve">Make the cost of the estate visible by service line</t>
  </si>
  <si>
    <t xml:space="preserve">As an MFT Admin, I want consumption attributed to the service line that caused it, so that volume has an owner and growth has a conversation attached to it.</t>
  </si>
  <si>
    <t xml:space="preserve">OPS-03</t>
  </si>
  <si>
    <t xml:space="preserve">Detect dormancy and force recertification</t>
  </si>
  <si>
    <t xml:space="preserve">As an MFT Admin, I want interfaces nobody uses and nobody will vouch for to be retired automatically, so that the estate stops accumulating a dead tail that we still pay to secure.</t>
  </si>
  <si>
    <t xml:space="preserve">OPS-04</t>
  </si>
  <si>
    <t xml:space="preserve">Bulk-onboard a legacy interface inventory</t>
  </si>
  <si>
    <t xml:space="preserve">As a Platform Engineer, I want to import a validated inventory of legacy interfaces and generate their config rows in batch, so that migrating hundreds of interfaces off the legacy estate does not mean typing hundreds of forms.</t>
  </si>
  <si>
    <t xml:space="preserve">TRK-04</t>
  </si>
  <si>
    <t xml:space="preserve">Amend a rejected request and resubmit</t>
  </si>
  <si>
    <t xml:space="preserve">As a Standard User, I want to clone a rejected request, fix the issue and resubmit, so that I retain the effort I already invested.</t>
  </si>
  <si>
    <t xml:space="preserve">TRK-06</t>
  </si>
  <si>
    <t xml:space="preserve">Request a change or decommission of a live interface</t>
  </si>
  <si>
    <t xml:space="preserve">As a Standard User, I want to change or retire an interface that is already live, so that the config store stays accurate and dead interfaces do not linger.</t>
  </si>
  <si>
    <t xml:space="preserve">Story Title</t>
  </si>
  <si>
    <t xml:space="preserve">AC #</t>
  </si>
  <si>
    <t xml:space="preserve">Acceptance Criterion (Given / When / Then)</t>
  </si>
  <si>
    <t xml:space="preserve">Test Ref</t>
  </si>
  <si>
    <t xml:space="preserve">Pass/Fail</t>
  </si>
  <si>
    <t xml:space="preserve">Given I am an unauthenticated visitor, when I open the portal URL, then I see a landing page stating that Intelligrator onboards Managed File Transfer interfaces and APIs.</t>
  </si>
  <si>
    <t xml:space="preserve">And I see an explicit "not in scope" statement (no runtime data flows through the portal; no bespoke Boomi process build requests).</t>
  </si>
  <si>
    <t xml:space="preserve">And I see a single, prominent "Sign in" action.</t>
  </si>
  <si>
    <t xml:space="preserve">And I see links to the Integration Pattern Catalogue so I can self-assess which pattern applies before signing in.</t>
  </si>
  <si>
    <t xml:space="preserve">Given I sign in as a requester, when the dashboard loads, then I see counts for Draft, Submitted, Awaiting Info, Approved and Rejected.</t>
  </si>
  <si>
    <t xml:space="preserve">And I see a primary "New request" button.</t>
  </si>
  <si>
    <t xml:space="preserve">And I see my five most recently updated requests with status and last-updated timestamp.</t>
  </si>
  <si>
    <t xml:space="preserve">Given I have no requests, when the dashboard loads, then I see an empty state that explains the next step rather than a blank panel.</t>
  </si>
  <si>
    <t xml:space="preserve">Given my IdP claims include an organisational unit, when I create a request, then the owning organisation is pre-populated and read-only.</t>
  </si>
  <si>
    <t xml:space="preserve">Given I belong to more than one service line, when I create a request, then I am asked to select which one this request belongs to.</t>
  </si>
  <si>
    <t xml:space="preserve">Given the service line drives the approver group, when I submit, then the request is routed to that group's queue.</t>
  </si>
  <si>
    <t xml:space="preserve">Given I have been inactive for the configured idle timeout, when the timeout elapses, then my session is terminated and I am returned to the landing page.</t>
  </si>
  <si>
    <t xml:space="preserve">Given I am two minutes from timeout, when the warning threshold is reached, then I am prompted and offered the option to extend.</t>
  </si>
  <si>
    <t xml:space="preserve">Given I have unsaved form input, when a timeout occurs, then that input is preserved as a draft rather than lost.</t>
  </si>
  <si>
    <t xml:space="preserve">Given I select "Sign out", when the action completes, then the session token is invalidated server-side, not just cleared client-side.</t>
  </si>
  <si>
    <t xml:space="preserve">Given I hold an approved account, when I enter my username and password, then I am authenticated and taken to my dashboard.</t>
  </si>
  <si>
    <t xml:space="preserve">Given passwords are stored, when a password is persisted, then it is hashed with a current, memory-hard algorithm and salted — never encrypted, never reversible, never logged.</t>
  </si>
  <si>
    <t xml:space="preserve">Given a password is set, when it is validated, then it is checked for length, and against a breached-password list; complexity theatre (forced symbols, 90-day rotation) is not imposed.</t>
  </si>
  <si>
    <t xml:space="preserve">Given repeated failed attempts, when the threshold is reached, then the account is rate-limited and then locked, and the attempts are written to the audit trail.</t>
  </si>
  <si>
    <t xml:space="preserve">Given I forget my password, when I use the reset flow, then a single-use, time-limited link is sent to my registered address and the old password is invalidated only when the new one is set.</t>
  </si>
  <si>
    <t xml:space="preserve">Given the authentication layer is pluggable (Phase 0), when SSO is introduced in Phase 3, then local authentication is switched off by configuration without changing the portal application.</t>
  </si>
  <si>
    <t xml:space="preserve">Given a colleague self-registers, when they submit, then the account is created in a Pending state and cannot sign in.</t>
  </si>
  <si>
    <t xml:space="preserve">And registration is restricted to a permitted email domain list; anything else is rejected at submission.</t>
  </si>
  <si>
    <t xml:space="preserve">Given an account is Pending, when I review it in the admin console, then I can approve it and assign it a role (Requester or Approver), or reject it with a reason.</t>
  </si>
  <si>
    <t xml:space="preserve">Given I approve an account, when the approval commits, then the user is notified and can sign in, and the approval is written to the audit trail.</t>
  </si>
  <si>
    <t xml:space="preserve">Given an account has been inactive for the configured period, when the dormancy job runs, then it is automatically disabled.</t>
  </si>
  <si>
    <t xml:space="preserve">Given I open the approval queue, when it loads, then I see every request awaiting decision in my approver group with reference, type (MFT/API), requester, service line, environment, age in working days and SLA status.</t>
  </si>
  <si>
    <t xml:space="preserve">And requests are badged where they carry an anti-pattern flag, an enhanced-review flag (personal data, non-standard policy, capacity), or a Production target.</t>
  </si>
  <si>
    <t xml:space="preserve">And I can sort and filter by any of those attributes.</t>
  </si>
  <si>
    <t xml:space="preserve">Given a request is approaching or has breached its decision SLA, when the queue renders, then it is visually distinguished.</t>
  </si>
  <si>
    <t xml:space="preserve">Given the queue is empty, when it loads, then I see an explicit empty state rather than an ambiguous blank list.</t>
  </si>
  <si>
    <t xml:space="preserve">Given I open a request from the queue, when the detail loads, then every submitted section is rendered read-only in a single scrollable view with a section index.</t>
  </si>
  <si>
    <t xml:space="preserve">And for an MFT request I see the exact config row that would be written on approval.</t>
  </si>
  <si>
    <t xml:space="preserve">And for an API request I see the parsed contract summary — operations, schemas, scopes, and the linting result.</t>
  </si>
  <si>
    <t xml:space="preserve">Given the request is an amendment or a change to a live interface, when I open it, then I see a field-level difference highlighting only what changed.</t>
  </si>
  <si>
    <t xml:space="preserve">Given I need to see the history, when I open the timeline, then every prior state transition, comment and prior decision on the lineage is visible.</t>
  </si>
  <si>
    <t xml:space="preserve">Given any state transition, decision, override, reassignment or credential issuance occurs, when it commits, then an audit record is written capturing actor, role, action, timestamp, request reference and rationale.</t>
  </si>
  <si>
    <t xml:space="preserve">And audit records are append-only; no user, including an administrator, can edit or delete one through any interface.</t>
  </si>
  <si>
    <t xml:space="preserve">And the audit trail records failed authorisation attempts as well as successful actions.</t>
  </si>
  <si>
    <t xml:space="preserve">Given an auditor needs evidence, when they export the trail for a request or a date range, then a complete, tamper-evident export is produced.</t>
  </si>
  <si>
    <t xml:space="preserve">Given the retention policy applies, when the retention period elapses, then records are archived, not destroyed, unless destruction is explicitly mandated.</t>
  </si>
  <si>
    <t xml:space="preserve">Given I am reviewing a request, when I select "Approve", then I am required to complete step-up authentication (ADM-01).</t>
  </si>
  <si>
    <t xml:space="preserve">And I may record an approval rationale, which is mandatory where any pre-check warned or failed, or where an anti-pattern flag is present.</t>
  </si>
  <si>
    <t xml:space="preserve">Given I confirm, when the decision commits, then the status becomes Approved, the request becomes immutable, and provisioning is triggered (PRV-01).</t>
  </si>
  <si>
    <t xml:space="preserve">And the requester and the business owner are notified.</t>
  </si>
  <si>
    <t xml:space="preserve">And the decision, the actor, the timestamp, the rationale and the state of every pre-check at the moment of decision are written to the immutable audit trail.</t>
  </si>
  <si>
    <t xml:space="preserve">Given I am reviewing a request, when I select "Reject", then I must choose at least one reason code from a governed list (for example: fails security policy, fails naming standard, unsuitable pattern, incomplete information, duplicate interface, capacity not available, data classification not permitted).</t>
  </si>
  <si>
    <t xml:space="preserve">And I must supply free-text detail; a reason code alone is not sufficient.</t>
  </si>
  <si>
    <t xml:space="preserve">And I may attach the rejection to one or more specific fields so the requester sees it in context.</t>
  </si>
  <si>
    <t xml:space="preserve">Given I confirm after step-up authentication, when the decision commits, then the status becomes Rejected, the requester and business owner are notified with the reason, and no provisioning occurs.</t>
  </si>
  <si>
    <t xml:space="preserve">Given the request is rejected, when the requester views it, then "Amend and resubmit" is offered (TRK-04).</t>
  </si>
  <si>
    <t xml:space="preserve">Given I am reviewing a request, when I select "Request information", then I must supply a question and may anchor it to one or more specific fields.</t>
  </si>
  <si>
    <t xml:space="preserve">Given I confirm, when the action commits, then the status becomes Awaiting Information, the request becomes editable by the requester, and it leaves my active queue.</t>
  </si>
  <si>
    <t xml:space="preserve">And my decision SLA clock is paused for the duration the request is with the requester.</t>
  </si>
  <si>
    <t xml:space="preserve">Given the requester responds, when they resubmit, then the request returns to me specifically, with their answer threaded against my question.</t>
  </si>
  <si>
    <t xml:space="preserve">Given I raised a request and I also hold the approver role, when that request reaches the queue, then it is not presented to me and the decision actions are not available to me on it.</t>
  </si>
  <si>
    <t xml:space="preserve">And the rule is enforced server-side: a direct API call to approve my own request is rejected.</t>
  </si>
  <si>
    <t xml:space="preserve">Given I am the only approver in the group, when I raise a request, then it is automatically routed to the escalation approver group rather than being blocked indefinitely.</t>
  </si>
  <si>
    <t xml:space="preserve">Given any attempt to bypass the rule occurs, when it is rejected, then the attempt is written to the audit trail.</t>
  </si>
  <si>
    <t xml:space="preserve">Given I start an MFT request, when I complete the identity section, then I must supply an interface name, business purpose, owning service, technical contact and business owner.</t>
  </si>
  <si>
    <t xml:space="preserve">Given the naming standard is enforced by the platform, when I enter a name that does not conform, then I am shown the required convention inline and cannot proceed until it conforms.</t>
  </si>
  <si>
    <t xml:space="preserve">Given an interface with the same name already exists, when I attempt to proceed, then I am warned of the collision and offered a link to the existing interface.</t>
  </si>
  <si>
    <t xml:space="preserve">Given all mandatory identity fields are complete, when I continue, then the section is marked complete in the progress indicator.</t>
  </si>
  <si>
    <t xml:space="preserve">Given I reach the endpoints section, when it loads, then I declare direction (inbound to the department, outbound to a partner, or internal) and select a protocol from the supported set (SFTP, AS2, HTTPS, FTPS).</t>
  </si>
  <si>
    <t xml:space="preserve">Given I select a protocol, when the form updates, then only the connection fields valid for that protocol are shown (for example, host/port/path/known-host key for SFTP; AS2 identifier and MDN settings for AS2).</t>
  </si>
  <si>
    <t xml:space="preserve">Given the platform distinguishes Accelerated File Transfer from standard File Streaming, when I declare a payload size above the AFT threshold or a cross-region route, then the portal recommends AFT and explains why.</t>
  </si>
  <si>
    <t xml:space="preserve">Given I complete the endpoint definition, when I continue, then the values map to named columns in the MFT config schema — no free-text blob is created.</t>
  </si>
  <si>
    <t xml:space="preserve">Given I reach the file section, when I complete it, then I supply the filename pattern (glob or regex), file format, expected average and peak file size, and expected files per day and per peak hour.</t>
  </si>
  <si>
    <t xml:space="preserve">Given I enter a filename pattern, when I select "Test pattern", then I can paste a sample filename and immediately see whether it matches.</t>
  </si>
  <si>
    <t xml:space="preserve">Given my declared peak volumetrics exceed the platform capacity threshold, when I continue, then the request is automatically flagged for capacity review by the approver.</t>
  </si>
  <si>
    <t xml:space="preserve">Given files must be archived or purged after transfer, when I complete the section, then I declare the retention period and post-transfer action (archive, delete, leave in place).</t>
  </si>
  <si>
    <t xml:space="preserve">Given I reach the trigger section, when it loads, then I choose between event/arrival-driven, polled at an interval, or scheduled on a cron expression.</t>
  </si>
  <si>
    <t xml:space="preserve">Given I choose polled, when I set the interval, then the portal enforces the minimum permitted polling interval and explains the reason for the floor.</t>
  </si>
  <si>
    <t xml:space="preserve">Given I choose scheduled, when I enter a cron expression, then the portal shows the next five run times in plain English so I can confirm my intent.</t>
  </si>
  <si>
    <t xml:space="preserve">Given the transfer has a business deadline, when I complete the section, then I declare the "must complete by" time so that SLA breach alerting can be configured.</t>
  </si>
  <si>
    <t xml:space="preserve">Given I reach the security section, when it loads, then I declare authentication method (SSH key, certificate, mutual TLS, username/password where permitted) for each endpoint.</t>
  </si>
  <si>
    <t xml:space="preserve">Given I hold a public key or certificate, when I upload it, then the portal validates its format, algorithm strength and expiry date and rejects a weak or expired credential with a clear reason.</t>
  </si>
  <si>
    <t xml:space="preserve">Given I do not hold a key, when I select "Request platform-generated key", then the request is marked for key issuance on approval and no secret is ever entered into a free-text field.</t>
  </si>
  <si>
    <t xml:space="preserve">Given payload encryption is required, when I complete the section, then I declare whether PGP encryption is applied and supply or request the relevant key.</t>
  </si>
  <si>
    <t xml:space="preserve">Given the platform enforces network controls, when I complete the section, then I supply the source IP ranges to be allow-listed.</t>
  </si>
  <si>
    <t xml:space="preserve">Given I reach the data section, when it loads, then I select a data classification from the departmental scheme and declare whether the payload contains personal data.</t>
  </si>
  <si>
    <t xml:space="preserve">Given I declare personal data, when I continue, then I must supply the lawful basis and the retention period, and the request is automatically flagged for enhanced review.</t>
  </si>
  <si>
    <t xml:space="preserve">Given I declare a residency constraint, when I continue, then the portal restricts the selectable target regions to those that satisfy the constraint.</t>
  </si>
  <si>
    <t xml:space="preserve">Given the classification exceeds the threshold for the selected protocol, when I attempt to continue, then I am blocked with an explanation of the required protocol or additional control.</t>
  </si>
  <si>
    <t xml:space="preserve">Given I reach the resilience section, when I complete it, then I declare the retry count, retry interval and back-off strategy from the permitted options.</t>
  </si>
  <si>
    <t xml:space="preserve">Given retries are exhausted, when I complete the section, then I declare the failure action (quarantine, alert only, alert and page).</t>
  </si>
  <si>
    <t xml:space="preserve">Given an alert must reach a team, when I complete the section, then I supply an alert distribution address and, where paging is selected, an on-call rota reference.</t>
  </si>
  <si>
    <t xml:space="preserve">Given the alert address does not resolve, when I attempt to submit, then validation fails with a clear message.</t>
  </si>
  <si>
    <t xml:space="preserve">Given I reach the environment section, when it loads, then I select the target environment (Development, Test, Pre-production, Production).</t>
  </si>
  <si>
    <t xml:space="preserve">Given I select Production, when I continue, then the portal shows the prerequisite environments that must already hold an approved, tested instance of this interface.</t>
  </si>
  <si>
    <t xml:space="preserve">Given a prerequisite is not met, when I attempt to submit for Production, then submission is blocked with a link to raise the prerequisite request.</t>
  </si>
  <si>
    <t xml:space="preserve">Given the same interface is promoted between environments, when I raise the promotion request, then all previously supplied values are carried forward and only environment-specific values (hosts, keys, IPs) are re-entered.</t>
  </si>
  <si>
    <t xml:space="preserve">Given every mandatory section is complete, when I reach the review step, then I see a read-only, human-readable rendering of the full config row that would be created.</t>
  </si>
  <si>
    <t xml:space="preserve">And I see a statement confirming that approval creates a configuration entry consumed by the shared MFT engine process, and does not create a new Boomi component.</t>
  </si>
  <si>
    <t xml:space="preserve">Given I spot an error, when I select the edit link beside any section, then I return to that section with my values intact and can return directly to review.</t>
  </si>
  <si>
    <t xml:space="preserve">Given a mandatory field is missing, when I reach review, then the incomplete sections are listed and the submit action is disabled.</t>
  </si>
  <si>
    <t xml:space="preserve">Given the request passes all validation, when I select "Submit", then the status changes from Draft to Submitted and the request becomes read-only to me.</t>
  </si>
  <si>
    <t xml:space="preserve">And a unique, human-quotable request reference is generated and displayed.</t>
  </si>
  <si>
    <t xml:space="preserve">And a confirmation is sent to me and to the nominated business owner.</t>
  </si>
  <si>
    <t xml:space="preserve">And the request appears in the approval queue of the approver group derived from my service line.</t>
  </si>
  <si>
    <t xml:space="preserve">Given submission fails for a technical reason, when the error occurs, then my request is retained as a Draft with all data intact and I am told plainly what to do next.</t>
  </si>
  <si>
    <t xml:space="preserve">Given a request is approved, when provisioning runs, then a single configuration record is written to the MFT config store (or the gateway policy store, for an API) keyed by the request reference.</t>
  </si>
  <si>
    <t xml:space="preserve">And no new Boomi process, connection or component is created for that interface.</t>
  </si>
  <si>
    <t xml:space="preserve">And the generic engine picks up the new configuration without redeployment.</t>
  </si>
  <si>
    <t xml:space="preserve">Given the config schema does not have a column for something a requester needs, when that gap is identified, then it is handled by a schema extension, never by a bespoke per-interface process.</t>
  </si>
  <si>
    <t xml:space="preserve">Given provisioning completes, when I inspect the config store, then the row is traceable to the approved request, the approver and the timestamp.</t>
  </si>
  <si>
    <t xml:space="preserve">Given my approved request asked for platform-generated credentials, when provisioning runs, then they are generated in the secrets store and never written to the portal database in plaintext.</t>
  </si>
  <si>
    <t xml:space="preserve">And I am notified that credentials are ready via a link that requires me to re-authenticate.</t>
  </si>
  <si>
    <t xml:space="preserve">And the secret is revealed once, is time-limited, and cannot be retrieved a second time through the portal.</t>
  </si>
  <si>
    <t xml:space="preserve">Given the credential has an expiry, when the expiry approaches, then I and the technical contact are notified in advance with instructions to rotate.</t>
  </si>
  <si>
    <t xml:space="preserve">Given a credential must be rotated, when I request rotation, then it follows the same secure issuance path without requiring a new onboarding request.</t>
  </si>
  <si>
    <t xml:space="preserve">Given a request is approved, when provisioning runs, then its status moves through Provisioning to either Live or Provisioning Failed.</t>
  </si>
  <si>
    <t xml:space="preserve">Given provisioning fails, when the failure occurs, then any partial configuration is rolled back, the approver and requester are notified, and the failure reason is displayed.</t>
  </si>
  <si>
    <t xml:space="preserve">Given provisioning succeeds, when the status becomes Live, then a connectivity smoke test result is recorded against the interface.</t>
  </si>
  <si>
    <t xml:space="preserve">Given the smoke test fails, when the result is recorded, then the interface is flagged as Live (Unverified) rather than being silently marked healthy.</t>
  </si>
  <si>
    <t xml:space="preserve">Given I select "New request", when the type picker loads, then I am offered "Managed File Transfer (MFT)" and "API" with a one-line description of each.</t>
  </si>
  <si>
    <t xml:space="preserve">And each option shows the governing catalogue pattern reference (for example P-116 for MFT) so the choice is anchored to the standard.</t>
  </si>
  <si>
    <t xml:space="preserve">Given I choose a type, when I continue, then the correct submission form is loaded and the type is fixed for the life of the request.</t>
  </si>
  <si>
    <t xml:space="preserve">Given I am unsure, when I select "Help me choose", then I am taken to the guided selection wizard (REQ-02).</t>
  </si>
  <si>
    <t xml:space="preserve">Given I am part-way through a form, when I select "Save draft", then the request is persisted with status Draft and no validation is enforced.</t>
  </si>
  <si>
    <t xml:space="preserve">And drafts auto-save at a defined interval without me taking any action.</t>
  </si>
  <si>
    <t xml:space="preserve">Given I return to a draft, when I open it, then every previously entered value is restored and I resume at the section I left.</t>
  </si>
  <si>
    <t xml:space="preserve">Given a draft has not been touched for the configured retention period, when the retention job runs, then I am notified before it is archived.</t>
  </si>
  <si>
    <t xml:space="preserve">Given I open "My requests", when the list loads, then each request shows its reference, type, environment, current status, current owner and the age in working days.</t>
  </si>
  <si>
    <t xml:space="preserve">Given I open a request, when the detail loads, then I see a full timeline of every state transition with actor and timestamp.</t>
  </si>
  <si>
    <t xml:space="preserve">Given a request is awaiting approval, when I view it, then I see the target SLA date for the decision.</t>
  </si>
  <si>
    <t xml:space="preserve">Given I want to find one request among many, when I use the filters, then I can filter by type, status, environment and date range.</t>
  </si>
  <si>
    <t xml:space="preserve">Given my request changes status, when the transition is committed, then I receive a notification containing the reference, the new status and the reason where one was given.</t>
  </si>
  <si>
    <t xml:space="preserve">And the notification contains a deep link to the request in the portal.</t>
  </si>
  <si>
    <t xml:space="preserve">And the notification never contains a secret, key or credential.</t>
  </si>
  <si>
    <t xml:space="preserve">Given the business owner is nominated on the request, when a terminal decision is made, then they are copied.</t>
  </si>
  <si>
    <t xml:space="preserve">Given the approver has set my request to "Awaiting Information", when I open it, then it becomes editable again and their question is displayed prominently against the section it concerns.</t>
  </si>
  <si>
    <t xml:space="preserve">Given I have answered, when I resubmit, then the request returns to the same approver (not to the back of a generic queue) with my answer attached to the thread.</t>
  </si>
  <si>
    <t xml:space="preserve">Given the request is Awaiting Information, when the SLA clock is evaluated, then the time spent waiting on me is excluded from the approver's SLA.</t>
  </si>
  <si>
    <t xml:space="preserve">Given I do not respond within the configured period, when the period elapses, then I am reminded, and after a second period the request is auto-withdrawn with notification.</t>
  </si>
  <si>
    <t xml:space="preserve">Given my request is in Draft or Submitted, when I select "Withdraw" and confirm, then its status becomes Withdrawn and it is removed from the approval queue.</t>
  </si>
  <si>
    <t xml:space="preserve">Given a request has been approved, when I view it, then "Withdraw" is not offered; I must instead raise a decommission request (TRK-06).</t>
  </si>
  <si>
    <t xml:space="preserve">And the withdrawal, with actor and timestamp, is written to the audit trail.</t>
  </si>
  <si>
    <t xml:space="preserve">Given I start an API request, when I complete the identity section, then I declare whether I am publishing an API or requesting access to an existing one.</t>
  </si>
  <si>
    <t xml:space="preserve">And I supply API name, business purpose, owning service, technical contact and business owner.</t>
  </si>
  <si>
    <t xml:space="preserve">Given I am requesting access to an existing API, when I search the catalogue, then I can select the published API and my request is linked to it rather than duplicating its definition.</t>
  </si>
  <si>
    <t xml:space="preserve">Given the naming standard is enforced, when I enter a non-conforming name, then I am blocked inline with the required convention shown.</t>
  </si>
  <si>
    <t xml:space="preserve">Given I am publishing a synchronous API, when I reach the contract step, then I must supply an OpenAPI (3.x) document by upload or by URL.</t>
  </si>
  <si>
    <t xml:space="preserve">Given I am publishing an event-driven or asynchronous interface, when I reach the contract step, then I must supply an AsyncAPI document instead.</t>
  </si>
  <si>
    <t xml:space="preserve">Given I supply a contract, when it is received, then it is linted against the departmental API standards ruleset and every error and warning is displayed against the offending line.</t>
  </si>
  <si>
    <t xml:space="preserve">Given the contract has linting errors of severity "error", when I attempt to submit, then submission is blocked until they are resolved.</t>
  </si>
  <si>
    <t xml:space="preserve">Given I have no contract yet, when I reach this step, then I can download a conforming starter template rather than being left stuck.</t>
  </si>
  <si>
    <t xml:space="preserve">Given I reach the interaction step, when it loads, then I select from synchronous request/response, asynchronous (request/callback or polling), or publish/subscribe.</t>
  </si>
  <si>
    <t xml:space="preserve">And I supply the back-end response-time profile (p50, p95, p99), the back-end availability target, and the delivery guarantee required (at-most-once, at-least-once, exactly-once).</t>
  </si>
  <si>
    <t xml:space="preserve">Given my declared p99 exceeds the synchronous threshold, when I nonetheless select synchronous, then the anti-pattern is flagged, I must record a justification, and the flag is carried through to the approver.</t>
  </si>
  <si>
    <t xml:space="preserve">Given I select publish/subscribe, when I continue, then I declare the topic, the event schema reference and the expected subscriber growth.</t>
  </si>
  <si>
    <t xml:space="preserve">Given I reach the security step, when it loads, then I select an authorisation model from the permitted set (OAuth 2.0 client credentials, OAuth 2.0 authorization code, mutual TLS, API key where permitted).</t>
  </si>
  <si>
    <t xml:space="preserve">Given the platform forbids unauthenticated APIs, when no model is selected, then I cannot proceed.</t>
  </si>
  <si>
    <t xml:space="preserve">Given I select OAuth 2.0, when I continue, then I declare the required scopes and the mapping of each scope to each operation in the contract.</t>
  </si>
  <si>
    <t xml:space="preserve">Given I select mutual TLS, when I continue, then I upload or request the client certificate and the portal validates its algorithm strength and expiry.</t>
  </si>
  <si>
    <t xml:space="preserve">Given credentials must be issued, when the request is approved, then they are issued by the platform and delivered by a secure one-time mechanism — never rendered in the portal UI or in an email body.</t>
  </si>
  <si>
    <t xml:space="preserve">Given I reach the traffic step, when I complete it, then I declare expected average TPS, peak TPS, peak window, average and maximum payload size, and required availability SLO.</t>
  </si>
  <si>
    <t xml:space="preserve">Given I declare a peak TPS above the standard tier, when I continue, then the request is automatically flagged for capacity review.</t>
  </si>
  <si>
    <t xml:space="preserve">Given rate limiting is mandatory, when I complete the step, then a default rate limit and burst allowance are proposed and I may request a different value with a justification.</t>
  </si>
  <si>
    <t xml:space="preserve">Given I request an availability SLO above the platform standard, when I continue, then I am shown the cost and architectural implication before I can proceed.</t>
  </si>
  <si>
    <t xml:space="preserve">Given I reach the routing step, when I complete it, then I supply the back-end base URL per environment and the public-facing base path.</t>
  </si>
  <si>
    <t xml:space="preserve">Given the base path collides with an existing published API, when I attempt to continue, then I am blocked and shown the conflicting API.</t>
  </si>
  <si>
    <t xml:space="preserve">Given policy sets are standardised, when I complete the step, then I select from named, pre-approved gateway policy bundles (for example: standard, high-security, partner-facing) rather than composing policies myself.</t>
  </si>
  <si>
    <t xml:space="preserve">Given I need a policy that no bundle provides, when I select "Request non-standard policy", then the request is routed for enhanced review with my justification attached.</t>
  </si>
  <si>
    <t xml:space="preserve">Given every mandatory section is complete and the contract lints clean, when I reach review, then I see the full request including the resolved contract summary (operations, schemas, scopes).</t>
  </si>
  <si>
    <t xml:space="preserve">And I see a statement confirming that approval creates gateway configuration from my declared values and does not create a bespoke integration component.</t>
  </si>
  <si>
    <t xml:space="preserve">Given I submit, when submission succeeds, then the status changes to Submitted, a unique reference is generated, confirmations are sent, and the request enters the correct approval queue.</t>
  </si>
  <si>
    <t xml:space="preserve">Given any anti-pattern flag or non-standard request is present, when the request enters the queue, then it is visibly badged as requiring enhanced review.</t>
  </si>
  <si>
    <t xml:space="preserve">Given my contract has passed linting and my request is approved, when the build automation runs, then the API proxy, every operation in the contract and the selected gateway policy bundle are generated and deployed to the target environment.</t>
  </si>
  <si>
    <t xml:space="preserve">And the build is driven from the contract plus a named policy bundle — no per-API bespoke component is created.</t>
  </si>
  <si>
    <t xml:space="preserve">Given the build runs, when it completes, then I am shown the deployed base URL, the operations exposed, the policies applied and the credentials issuance status.</t>
  </si>
  <si>
    <t xml:space="preserve">Given the build fails, when the failure occurs, then any partially deployed configuration is rolled back and the failure reason is shown against the offending part of the contract.</t>
  </si>
  <si>
    <t xml:space="preserve">Given I republish an amended contract, when the build runs, then a contract diff is performed first and a breaking change blocks the deployment until it is either fixed or explicitly versioned (API-12).</t>
  </si>
  <si>
    <t xml:space="preserve">Given the same contract is promoted to a higher environment, when promotion runs, then only environment-specific values (back-end URL, credentials, rate limits) differ; the build is otherwise identical.</t>
  </si>
  <si>
    <t xml:space="preserve">Given I have uploaded a valid contract, when I select "Create sandbox", then a mock service is generated from the contract's schemas and examples, and I am given a sandbox URL.</t>
  </si>
  <si>
    <t xml:space="preserve">And I can invoke every operation against the mock from within the portal and see the request and response.</t>
  </si>
  <si>
    <t xml:space="preserve">Given the sandbox exists, when I amend the contract, then the mock is regenerated automatically.</t>
  </si>
  <si>
    <t xml:space="preserve">Given the sandbox is not production, when it is created, then it is time-limited, carries no real data and is destroyed automatically on expiry or on submission.</t>
  </si>
  <si>
    <t xml:space="preserve">Given I have exercised the sandbox, when I submit the request, then the sandbox test evidence is attached to the request for the approver to see.</t>
  </si>
  <si>
    <t xml:space="preserve">Given I select "New composite API", when the composer loads, then I can search the catalogue and select two or more published APIs I am entitled to consume.</t>
  </si>
  <si>
    <t xml:space="preserve">And I can arrange the calls in sequence, in parallel (fan-out / fan-in), or conditionally, using a declarative composition — not by writing code.</t>
  </si>
  <si>
    <t xml:space="preserve">Given a downstream call depends on an earlier response, when I define the step, then I can bind a field from the earlier response to a parameter of the later call.</t>
  </si>
  <si>
    <t xml:space="preserve">Given any downstream API fails, when I define the composition, then I must declare the failure behaviour for each step (fail the whole composite, return partial with a documented degraded response, or apply a fallback).</t>
  </si>
  <si>
    <t xml:space="preserve">Given the composition is complete, when I save it, then the platform generates the composite OpenAPI contract automatically, and it is linted like any other contract.</t>
  </si>
  <si>
    <t xml:space="preserve">Given the composite is approved and built, when it is deployed, then it is executed by ONE generic orchestration engine reading the composition specification as configuration — no new Boomi process is created per mashup.</t>
  </si>
  <si>
    <t xml:space="preserve">Given a source API of my composite is deprecated or retired, when that happens, then I am notified and my composite is flagged as at risk.</t>
  </si>
  <si>
    <t xml:space="preserve">Given I have defined the composition steps, when I open the response mapper, then I can map any field from any source response to any field of the composite response.</t>
  </si>
  <si>
    <t xml:space="preserve">And I can apply the permitted transformation set (rename, concatenate, format a date, cast a type, default a null, filter a collection) from a governed list — arbitrary scripting is not offered.</t>
  </si>
  <si>
    <t xml:space="preserve">Given a mapping is invalid against the target schema, when I attempt to save, then I am blocked with the offending mapping highlighted.</t>
  </si>
  <si>
    <t xml:space="preserve">Given the mapping is complete, when I preview it, then I see the resulting composite response rendered from the sources' sandbox examples.</t>
  </si>
  <si>
    <t xml:space="preserve">Given I need a transformation the governed list does not provide, when I request it, then it is raised to the platform team as a request to extend the transformation library — never as a request for a bespoke process.</t>
  </si>
  <si>
    <t xml:space="preserve">Given I republish a contract with a breaking change, when the diff runs, then I am required to publish it as a new major version rather than overwrite the existing one.</t>
  </si>
  <si>
    <t xml:space="preserve">Given a new version is published, when it goes live, then the previous version continues to serve its existing consumers and both are listed in the catalogue with their status.</t>
  </si>
  <si>
    <t xml:space="preserve">Given I deprecate a version, when the deprecation commits, then every subscribed consumer is notified with the sunset date and the migration path.</t>
  </si>
  <si>
    <t xml:space="preserve">Given a version reaches its sunset date and consumers remain subscribed, when the sunset job runs, then retirement is blocked and escalated rather than silently breaking those consumers.</t>
  </si>
  <si>
    <t xml:space="preserve">Given a version is retired, when the retirement commits, then its gateway configuration is disabled, not deleted, and retained for the audit period.</t>
  </si>
  <si>
    <t xml:space="preserve">Given I open the API catalogue, when it loads, then I can search and filter published APIs by name, owning service, domain and status.</t>
  </si>
  <si>
    <t xml:space="preserve">And for each API I can view its contract, its operations, its policies, its rate limits and its owner — without needing a subscription.</t>
  </si>
  <si>
    <t xml:space="preserve">Given I want access, when I select "Subscribe", then I raise a subscription request stating my purpose, expected volume and environment, which routes to the API owner for approval.</t>
  </si>
  <si>
    <t xml:space="preserve">Given my subscription is approved, when provisioning runs, then my credentials are issued into the vault and delivered by a one-time, re-authenticated reveal.</t>
  </si>
  <si>
    <t xml:space="preserve">Given a duplicate API is proposed, when a new publication request is submitted, then the platform surfaces catalogue matches to the approver so that duplication can be challenged before it is built.</t>
  </si>
  <si>
    <t xml:space="preserve">Given I enter the wizard, when it runs, then it asks about response-time budget, back-end availability, expected volume, payload size and reliability/delivery guarantee — not about the number of consumers.</t>
  </si>
  <si>
    <t xml:space="preserve">Given my back-end response time exceeds the synchronous budget or my payload exceeds the size threshold, when the wizard evaluates my answers, then it flags the synchronous option as an anti-pattern and recommends an asynchronous or file-based pattern with the reason stated in plain English.</t>
  </si>
  <si>
    <t xml:space="preserve">Given my answers indicate a bulk, scheduled or large-payload movement, when the wizard evaluates, then it recommends MFT and offers to start an MFT request pre-populated with my answers.</t>
  </si>
  <si>
    <t xml:space="preserve">Given the wizard makes a recommendation, when I disagree, then I may override it, but the override and my stated justification are recorded on the request and surfaced to the approver.</t>
  </si>
  <si>
    <t xml:space="preserve">Given I hold a valid departmental identity, when I select "Sign in", then I am redirected to the corporate IdP (OIDC/SAML) and returned authenticated.</t>
  </si>
  <si>
    <t xml:space="preserve">Given authentication succeeds, when I land in the portal, then my display name, email and organisational unit are populated from IdP claims without me typing them.</t>
  </si>
  <si>
    <t xml:space="preserve">Given my IdP group entitles me only to the requester role, when I land, then no administrative navigation is rendered anywhere in the UI (not merely hidden by CSS).</t>
  </si>
  <si>
    <t xml:space="preserve">Given authentication fails, when I am returned, then I see a clear, non-technical error and a route to service support.</t>
  </si>
  <si>
    <t xml:space="preserve">Given my IdP group grants the approver role, when I sign in, then the administrative navigation and approval queue are available to me.</t>
  </si>
  <si>
    <t xml:space="preserve">Given I attempt a decision action (approve, reject, conditionally approve), when the action is invoked, then I am challenged for multi-factor step-up authentication before the decision is committed.</t>
  </si>
  <si>
    <t xml:space="preserve">Given I fail the step-up challenge, when the decision is attempted, then no state change occurs and the failed attempt is written to the audit trail.</t>
  </si>
  <si>
    <t xml:space="preserve">Given I do not hold the approver role, when I attempt to reach an administrative URL directly, then the server rejects the request — access is enforced at the API, not only in the UI.</t>
  </si>
  <si>
    <t xml:space="preserve">Given administrative sessions carry higher risk, when I am idle, then a shorter idle timeout applies to me than to a standard user.</t>
  </si>
  <si>
    <t xml:space="preserve">Given a request enters the queue, when I open it, then a pre-check panel shows a pass/warn/fail result for each automated check.</t>
  </si>
  <si>
    <t xml:space="preserve">And the checks include at minimum: naming-standard conformance, duplicate/collision detection, credential strength and expiry, contract linting (API), data-classification-versus-protocol compatibility, capacity threshold, IP allow-list validity, and anti-pattern flags.</t>
  </si>
  <si>
    <t xml:space="preserve">Given any check has failed, when I view the panel, then the failure is stated in one line with a link to the offending field.</t>
  </si>
  <si>
    <t xml:space="preserve">Given every check has passed and the request carries no enhanced-review flag, when I view the request, then it is eligible for the low-risk fast path (DEC-07).</t>
  </si>
  <si>
    <t xml:space="preserve">Given a pre-check fails, when I attempt to approve, then I am not blocked, but I must record an explicit override justification which is retained in the audit trail.</t>
  </si>
  <si>
    <t xml:space="preserve">Given I open reporting, when it loads, then I see requests submitted, approved, rejected and withdrawn over a selectable period, split by MFT and API.</t>
  </si>
  <si>
    <t xml:space="preserve">And I see median and 90th-percentile time-to-decision against SLA, with time spent Awaiting Information excluded.</t>
  </si>
  <si>
    <t xml:space="preserve">And I see rejection reason codes ranked by frequency, so that the commonest causes can be designed out of the form.</t>
  </si>
  <si>
    <t xml:space="preserve">And I see the proportion of requests requiring enhanced review and the proportion carrying anti-pattern overrides.</t>
  </si>
  <si>
    <t xml:space="preserve">Given I need the underlying data, when I select export, then I can download the dataset.</t>
  </si>
  <si>
    <t xml:space="preserve">Given I am reviewing a request, when I select "Approve with conditions", then I must state each condition and a due date for it.</t>
  </si>
  <si>
    <t xml:space="preserve">Given I confirm, when the decision commits, then provisioning proceeds, and the interface is flagged as conditionally approved in the config store.</t>
  </si>
  <si>
    <t xml:space="preserve">Given a condition passes its due date unmet, when the condition-monitoring job runs, then the requester and I are alerted and the interface is escalated for review.</t>
  </si>
  <si>
    <t xml:space="preserve">Given all conditions are marked met, when the last one is closed, then the conditional flag is cleared and the audit trail records who closed it.</t>
  </si>
  <si>
    <t xml:space="preserve">Given I hold a request, when I select "Reassign", then I can select another approver within an eligible approver group and must supply a reason.</t>
  </si>
  <si>
    <t xml:space="preserve">Given I reassign, when the action commits, then the request moves to their queue, the SLA clock continues unbroken, and the requester sees the new owner.</t>
  </si>
  <si>
    <t xml:space="preserve">Given I will be absent, when I set a delegation period, then requests routed to me during that period are automatically routed to my nominated delegate.</t>
  </si>
  <si>
    <t xml:space="preserve">Given multiple requests have passed every automated pre-check, carry no enhanced-review flag and target a non-production environment, when I open the fast path, then I may select and approve them together.</t>
  </si>
  <si>
    <t xml:space="preserve">Given I fast-path approve, when the decision commits, then step-up authentication is still required once for the batch, and each request receives its own individual audit entry.</t>
  </si>
  <si>
    <t xml:space="preserve">Given any request in my selection is not fast-path eligible, when I attempt to include it, then it is excluded from the batch with the reason shown.</t>
  </si>
  <si>
    <t xml:space="preserve">Given a request targets Production, when I attempt to fast-path it, then it is never eligible, regardless of pre-check results.</t>
  </si>
  <si>
    <t xml:space="preserve">Given the portal is assessed, when it is tested, then it conforms to WCAG 2.2 Level AA.</t>
  </si>
  <si>
    <t xml:space="preserve">And every function, including the full request forms, review screens and decision actions, is completable by keyboard alone.</t>
  </si>
  <si>
    <t xml:space="preserve">And every form error is announced by a screen reader and associated programmatically with the field it concerns.</t>
  </si>
  <si>
    <t xml:space="preserve">And no meaning is conveyed by colour alone — risk badges and SLA warnings carry a text or icon equivalent.</t>
  </si>
  <si>
    <t xml:space="preserve">Given normal load, when I load any page, then it renders within the agreed response-time budget at the 95th percentile.</t>
  </si>
  <si>
    <t xml:space="preserve">Given the approval queue contains a large number of requests, when it loads, then it pages and filters server-side rather than degrading.</t>
  </si>
  <si>
    <t xml:space="preserve">Given the portal is unavailable, when the outage occurs, then no in-flight request data is lost and drafts survive.</t>
  </si>
  <si>
    <t xml:space="preserve">Given the service level is defined, when availability is measured, then it is reported against the agreed SLO in the reporting view (AUD-02).</t>
  </si>
  <si>
    <t xml:space="preserve">Given I select an event-driven request, when I reach the contract step, then I must supply an AsyncAPI document, which is linted against the departmental event standards.</t>
  </si>
  <si>
    <t xml:space="preserve">Given I am a publisher, when I complete the request, then I declare the topic, the event schema, the partitioning key, the retention period and the expected event rate.</t>
  </si>
  <si>
    <t xml:space="preserve">Given I am a subscriber, when I complete the request, then I select an existing topic from the event catalogue and declare my consumer group and delivery guarantee.</t>
  </si>
  <si>
    <t xml:space="preserve">Given the request is approved, when provisioning runs, then the topic, the ACL and the consumer group are created as configuration — no bespoke process is created.</t>
  </si>
  <si>
    <t xml:space="preserve">Given I open the event catalogue, when it loads, then I can search published topics by name, domain, owning service and schema.</t>
  </si>
  <si>
    <t xml:space="preserve">And for each topic I can view its AsyncAPI contract, its schema versions, its retention and its owner.</t>
  </si>
  <si>
    <t xml:space="preserve">And I can see the subscriber count, so that a topic's blast radius is visible before it is changed.</t>
  </si>
  <si>
    <t xml:space="preserve">Given I select a topic, when I request a subscription, then it routes to the topic owner for approval.</t>
  </si>
  <si>
    <t xml:space="preserve">Given a schema is published, when it is registered, then it is versioned in the schema registry and bound to its topic.</t>
  </si>
  <si>
    <t xml:space="preserve">Given a producer submits a schema change, when the compatibility check runs, then it is evaluated against the topic's declared compatibility mode (backward, forward or full).</t>
  </si>
  <si>
    <t xml:space="preserve">Given the change is incompatible, when the check fails, then the request is rejected at submission with the offending field named — not discovered in production.</t>
  </si>
  <si>
    <t xml:space="preserve">Given the change is compatible, when it is approved, then the new schema version is registered and subscribers are notified.</t>
  </si>
  <si>
    <t xml:space="preserve">Given an event request enters my queue, when I open it, then the pre-check panel includes AsyncAPI lint result, schema compatibility result, topic naming conformance and retention-versus-classification compatibility.</t>
  </si>
  <si>
    <t xml:space="preserve">Given a topic already exists with a materially similar schema, when the duplicate check runs, then the potential duplicate is surfaced to me.</t>
  </si>
  <si>
    <t xml:space="preserve">Given the declared event rate exceeds the platform threshold, when the request is submitted, then it is flagged for capacity review.</t>
  </si>
  <si>
    <t xml:space="preserve">Given I own live interfaces, when I open my dashboard, then I see per-interface success rate, volume, latency and last-run status over a selectable period.</t>
  </si>
  <si>
    <t xml:space="preserve">And a failing or degraded interface is visually distinguished and explains what failed, not merely that something did.</t>
  </si>
  <si>
    <t xml:space="preserve">Given an interface breaches its declared "must complete by" deadline, when the breach occurs, then I am alerted through the channel I nominated at onboarding.</t>
  </si>
  <si>
    <t xml:space="preserve">Given I need evidence for a service review, when I export, then I can download the usage and availability data for my interfaces.</t>
  </si>
  <si>
    <t xml:space="preserve">Given interfaces are live, when the chargeback report runs, then transfer volume, API call volume and event volume are attributed to the owning service line.</t>
  </si>
  <si>
    <t xml:space="preserve">And the report is generated from actual measured volume, not from the volumetrics declared at onboarding — and the variance between the two is shown.</t>
  </si>
  <si>
    <t xml:space="preserve">Given a service line materially exceeds its declared volumetrics, when the variance threshold is crossed, then the owner and the platform team are notified.</t>
  </si>
  <si>
    <t xml:space="preserve">Given a service line needs to plan, when they view their consumption, then they see a trend, not only a point-in-time figure.</t>
  </si>
  <si>
    <t xml:space="preserve">Given an interface has had no activity for the configured dormancy period, when the dormancy job runs, then its owner is prompted to confirm it is still required.</t>
  </si>
  <si>
    <t xml:space="preserve">Given the owner confirms, when they recertify, then the interface is retained and the recertification is recorded with a next-review date.</t>
  </si>
  <si>
    <t xml:space="preserve">Given the owner does not respond within the configured period, when the period elapses, then the interface is disabled and its owner and service line are notified — the config row is disabled, never deleted.</t>
  </si>
  <si>
    <t xml:space="preserve">Given every live interface must have an owner, when an owner leaves and is not replaced, then the interface is flagged as orphaned and escalated to the service line.</t>
  </si>
  <si>
    <t xml:space="preserve">Given I hold a legacy interface inventory, when I import it, then every row is validated against the same rules as a portal-submitted request, and every failure is reported against its row before anything is created.</t>
  </si>
  <si>
    <t xml:space="preserve">Given the import validates, when I submit it, then each interface becomes an individual request in the approval queue — batched for the approver, but individually auditable.</t>
  </si>
  <si>
    <t xml:space="preserve">Given the approver accepts a batch, when provisioning runs, then config rows are created for each and any individual failure does not roll back the successful ones.</t>
  </si>
  <si>
    <t xml:space="preserve">Given a legacy interface is migrated, when it goes Live in the new platform, then it is linked to its legacy identifier so that the coexistence period and the eventual decommission can be tracked.</t>
  </si>
  <si>
    <t xml:space="preserve">Given the migration is in flight, when I view the migration dashboard, then I see how many legacy interfaces are pending, migrated, coexisting and decommissioned.</t>
  </si>
  <si>
    <t xml:space="preserve">Given my request was rejected, when I select "Amend and resubmit", then a new request is created pre-populated with every value from the rejected one.</t>
  </si>
  <si>
    <t xml:space="preserve">And the new request retains a link to its predecessor and to the rejection reason.</t>
  </si>
  <si>
    <t xml:space="preserve">Given I resubmit, when the approver opens it, then they see a field-level difference against the rejected version so they can review only what changed.</t>
  </si>
  <si>
    <t xml:space="preserve">Given an interface of mine is live, when I select "Request change", then a new request is opened pre-populated with the current live configuration.</t>
  </si>
  <si>
    <t xml:space="preserve">And the approver sees a field-level difference between the live config and the proposed config.</t>
  </si>
  <si>
    <t xml:space="preserve">Given I select "Request decommission", when the request is approved, then the config row is disabled (not deleted) and retained for the audit retention period.</t>
  </si>
  <si>
    <t xml:space="preserve">Given the interface has been inactive for the configured dormancy period, when the dormancy job runs, then I am prompted to confirm whether it is still required.</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</si>
</sst>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0F1723"/>
      <name val="Arial"/>
      <family val="0"/>
      <charset val="1"/>
    </font>
    <font>
      <sz val="10"/>
      <color rgb="FF3D4653"/>
      <name val="Arial"/>
      <family val="0"/>
      <charset val="1"/>
    </font>
    <font>
      <sz val="9"/>
      <color rgb="FF7A8493"/>
      <name val="Arial"/>
      <family val="0"/>
      <charset val="1"/>
    </font>
    <font>
      <b val="true"/>
      <sz val="10"/>
      <color rgb="FFFFFFFF"/>
      <name val="Arial"/>
      <family val="0"/>
      <charset val="1"/>
    </font>
    <font>
      <b val="true"/>
      <sz val="10"/>
      <color rgb="FF3D4653"/>
      <name val="Arial"/>
      <family val="0"/>
      <charset val="1"/>
    </font>
    <font>
      <b val="true"/>
      <sz val="10"/>
      <color rgb="FF0F1723"/>
      <name val="Arial"/>
      <family val="0"/>
      <charset val="1"/>
    </font>
    <font>
      <b val="true"/>
      <sz val="12"/>
      <color rgb="FF0F1723"/>
      <name val="Arial"/>
      <family val="0"/>
      <charset val="1"/>
    </font>
    <font>
      <b val="true"/>
      <sz val="10"/>
      <color rgb="FF003D9E"/>
      <name val="Arial"/>
      <family val="0"/>
      <charset val="1"/>
    </font>
    <font>
      <sz val="10"/>
      <color rgb="FF0000FF"/>
      <name val="Arial"/>
      <family val="0"/>
      <charset val="1"/>
    </font>
  </fonts>
  <fills count="11">
    <fill>
      <patternFill patternType="none"/>
    </fill>
    <fill>
      <patternFill patternType="gray125"/>
    </fill>
    <fill>
      <patternFill patternType="solid">
        <fgColor rgb="FF0F1723"/>
        <bgColor rgb="FF000000"/>
      </patternFill>
    </fill>
    <fill>
      <patternFill patternType="solid">
        <fgColor rgb="FF5A6472"/>
        <bgColor rgb="FF3D4653"/>
      </patternFill>
    </fill>
    <fill>
      <patternFill patternType="solid">
        <fgColor rgb="FF0B5FFF"/>
        <bgColor rgb="FF3366FF"/>
      </patternFill>
    </fill>
    <fill>
      <patternFill patternType="solid">
        <fgColor rgb="FF7A3DB8"/>
        <bgColor rgb="FF993366"/>
      </patternFill>
    </fill>
    <fill>
      <patternFill patternType="solid">
        <fgColor rgb="FF0F7A5A"/>
        <bgColor rgb="FF008080"/>
      </patternFill>
    </fill>
    <fill>
      <patternFill patternType="solid">
        <fgColor rgb="FFB5761B"/>
        <bgColor rgb="FFFF6600"/>
      </patternFill>
    </fill>
    <fill>
      <patternFill patternType="solid">
        <fgColor rgb="FFB3261E"/>
        <bgColor rgb="FF993366"/>
      </patternFill>
    </fill>
    <fill>
      <patternFill patternType="solid">
        <fgColor rgb="FFEEF2F7"/>
        <bgColor rgb="FFFFFFFF"/>
      </patternFill>
    </fill>
    <fill>
      <patternFill patternType="solid">
        <fgColor rgb="FFFFFFCC"/>
        <bgColor rgb="FFFFFFFF"/>
      </patternFill>
    </fill>
  </fills>
  <borders count="2">
    <border diagonalUp="false" diagonalDown="false">
      <left/>
      <right/>
      <top/>
      <bottom/>
      <diagonal/>
    </border>
    <border diagonalUp="false" diagonalDown="false">
      <left style="thin">
        <color rgb="FFDFE4EA"/>
      </left>
      <right style="thin">
        <color rgb="FFDFE4EA"/>
      </right>
      <top style="thin">
        <color rgb="FFDFE4EA"/>
      </top>
      <bottom style="thin">
        <color rgb="FFDFE4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9"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10" borderId="1" xfId="0" applyFont="true" applyBorder="true" applyAlignment="true" applyProtection="false">
      <alignment horizontal="general" vertical="top" textRotation="0" wrapText="false" indent="0" shrinkToFit="false"/>
      <protection locked="true" hidden="false"/>
    </xf>
    <xf numFmtId="164" fontId="12" fillId="1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B5FFF"/>
          <bgColor rgb="FF000000"/>
        </patternFill>
      </fill>
    </dxf>
    <dxf>
      <fill>
        <patternFill patternType="solid">
          <fgColor rgb="FF0F1723"/>
          <bgColor rgb="FF000000"/>
        </patternFill>
      </fill>
    </dxf>
    <dxf>
      <fill>
        <patternFill patternType="solid">
          <fgColor rgb="FF0F7A5A"/>
          <bgColor rgb="FF000000"/>
        </patternFill>
      </fill>
    </dxf>
    <dxf>
      <fill>
        <patternFill patternType="solid">
          <fgColor rgb="FF7A3DB8"/>
          <bgColor rgb="FF000000"/>
        </patternFill>
      </fill>
    </dxf>
    <dxf>
      <fill>
        <patternFill patternType="solid">
          <fgColor rgb="FFB3261E"/>
          <bgColor rgb="FF000000"/>
        </patternFill>
      </fill>
    </dxf>
    <dxf>
      <fill>
        <patternFill patternType="solid">
          <fgColor rgb="FFB5761B"/>
          <bgColor rgb="FF000000"/>
        </patternFill>
      </fill>
    </dxf>
    <dxf>
      <fill>
        <patternFill patternType="solid">
          <fgColor rgb="FFFFFFFF"/>
          <bgColor rgb="FF000000"/>
        </patternFill>
      </fill>
    </dxf>
    <dxf>
      <fill>
        <patternFill patternType="solid">
          <bgColor rgb="FF000000"/>
        </patternFill>
      </fill>
    </dxf>
    <dxf>
      <fill>
        <patternFill patternType="solid">
          <fgColor rgb="FF3D4653"/>
          <bgColor rgb="FF000000"/>
        </patternFill>
      </fill>
    </dxf>
    <dxf>
      <fill>
        <patternFill patternType="solid">
          <fgColor rgb="FF003D9E"/>
          <bgColor rgb="FF000000"/>
        </patternFill>
      </fill>
    </dxf>
    <dxf>
      <fill>
        <patternFill patternType="solid">
          <fgColor rgb="FFFFFF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5761B"/>
      <rgbColor rgb="FF800080"/>
      <rgbColor rgb="FF0F7A5A"/>
      <rgbColor rgb="FFC0C0C0"/>
      <rgbColor rgb="FF7A8493"/>
      <rgbColor rgb="FF9999FF"/>
      <rgbColor rgb="FF7A3DB8"/>
      <rgbColor rgb="FFFFFFCC"/>
      <rgbColor rgb="FFEEF2F7"/>
      <rgbColor rgb="FF660066"/>
      <rgbColor rgb="FFFF8080"/>
      <rgbColor rgb="FF0B5FFF"/>
      <rgbColor rgb="FFDFE4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472"/>
      <rgbColor rgb="FF969696"/>
      <rgbColor rgb="FF003D9E"/>
      <rgbColor rgb="FF339966"/>
      <rgbColor rgb="FF0F1723"/>
      <rgbColor rgb="FF333300"/>
      <rgbColor rgb="FFB3261E"/>
      <rgbColor rgb="FF993366"/>
      <rgbColor rgb="FF333399"/>
      <rgbColor rgb="FF3D465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2"/>
    <col collapsed="false" customWidth="true" hidden="false" outlineLevel="0" max="4" min="4" style="0" width="14"/>
    <col collapsed="false" customWidth="true" hidden="false" outlineLevel="0" max="8" min="5" style="0" width="9"/>
    <col collapsed="false" customWidth="true" hidden="false" outlineLevel="0" max="9" min="9" style="0" width="8"/>
    <col collapsed="false" customWidth="true" hidden="false" outlineLevel="0" max="10" min="10" style="0" width="9"/>
    <col collapsed="false" customWidth="true" hidden="false" outlineLevel="0" max="11" min="11" style="0" width="8"/>
    <col collapsed="false" customWidth="true" hidden="false" outlineLevel="0" max="12" min="12" style="0" width="8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25.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row>
    <row r="6" customFormat="false" ht="42" hidden="false" customHeight="true" outlineLevel="0" collapsed="false">
      <c r="A6" s="5" t="s">
        <v>15</v>
      </c>
      <c r="B6" s="6" t="s">
        <v>16</v>
      </c>
      <c r="C6" s="7" t="s">
        <v>17</v>
      </c>
      <c r="D6" s="7" t="s">
        <v>18</v>
      </c>
      <c r="E6" s="7" t="n">
        <v>1</v>
      </c>
      <c r="F6" s="7" t="n">
        <v>4</v>
      </c>
      <c r="G6" s="7" t="n">
        <f aca="false">COUNTIF(Backlog!$A$2:$A$66,$A6)</f>
        <v>0</v>
      </c>
      <c r="H6" s="7" t="n">
        <f aca="false">SUMIF(Backlog!$A$2:$A$66,$A6,Backlog!$J$2:$J$66)</f>
        <v>0</v>
      </c>
      <c r="I6" s="7" t="n">
        <f aca="false">COUNTIFS(Backlog!$A$2:$A$66,$A6,Backlog!$I$2:$I$66,"Must")</f>
        <v>0</v>
      </c>
      <c r="J6" s="7" t="n">
        <f aca="false">COUNTIFS(Backlog!$A$2:$A$66,$A6,Backlog!$I$2:$I$66,"Should")</f>
        <v>0</v>
      </c>
      <c r="K6" s="7" t="n">
        <f aca="false">COUNTIFS(Backlog!$A$2:$A$66,$A6,Backlog!$I$2:$I$66,"Could")</f>
        <v>0</v>
      </c>
      <c r="L6" s="8" t="s">
        <v>19</v>
      </c>
    </row>
    <row r="7" customFormat="false" ht="42" hidden="false" customHeight="true" outlineLevel="0" collapsed="false">
      <c r="A7" s="9" t="s">
        <v>20</v>
      </c>
      <c r="B7" s="6" t="s">
        <v>21</v>
      </c>
      <c r="C7" s="7" t="s">
        <v>22</v>
      </c>
      <c r="D7" s="7" t="s">
        <v>23</v>
      </c>
      <c r="E7" s="7" t="n">
        <v>3</v>
      </c>
      <c r="F7" s="7" t="n">
        <v>14</v>
      </c>
      <c r="G7" s="7" t="n">
        <f aca="false">COUNTIF(Backlog!$A$2:$A$66,$A7)</f>
        <v>32</v>
      </c>
      <c r="H7" s="7" t="n">
        <f aca="false">SUMIF(Backlog!$A$2:$A$66,$A7,Backlog!$J$2:$J$66)</f>
        <v>156</v>
      </c>
      <c r="I7" s="7" t="n">
        <f aca="false">COUNTIFS(Backlog!$A$2:$A$66,$A7,Backlog!$I$2:$I$66,"Must")</f>
        <v>30</v>
      </c>
      <c r="J7" s="7" t="n">
        <f aca="false">COUNTIFS(Backlog!$A$2:$A$66,$A7,Backlog!$I$2:$I$66,"Should")</f>
        <v>2</v>
      </c>
      <c r="K7" s="7" t="n">
        <f aca="false">COUNTIFS(Backlog!$A$2:$A$66,$A7,Backlog!$I$2:$I$66,"Could")</f>
        <v>0</v>
      </c>
      <c r="L7" s="8" t="s">
        <v>24</v>
      </c>
    </row>
    <row r="8" customFormat="false" ht="42" hidden="false" customHeight="true" outlineLevel="0" collapsed="false">
      <c r="A8" s="10" t="s">
        <v>25</v>
      </c>
      <c r="B8" s="6" t="s">
        <v>26</v>
      </c>
      <c r="C8" s="7" t="s">
        <v>27</v>
      </c>
      <c r="D8" s="7" t="s">
        <v>28</v>
      </c>
      <c r="E8" s="7" t="n">
        <v>15</v>
      </c>
      <c r="F8" s="7" t="n">
        <v>28</v>
      </c>
      <c r="G8" s="7" t="n">
        <f aca="false">COUNTIF(Backlog!$A$2:$A$66,$A8)</f>
        <v>14</v>
      </c>
      <c r="H8" s="7" t="n">
        <f aca="false">SUMIF(Backlog!$A$2:$A$66,$A8,Backlog!$J$2:$J$66)</f>
        <v>105</v>
      </c>
      <c r="I8" s="7" t="n">
        <f aca="false">COUNTIFS(Backlog!$A$2:$A$66,$A8,Backlog!$I$2:$I$66,"Must")</f>
        <v>11</v>
      </c>
      <c r="J8" s="7" t="n">
        <f aca="false">COUNTIFS(Backlog!$A$2:$A$66,$A8,Backlog!$I$2:$I$66,"Should")</f>
        <v>3</v>
      </c>
      <c r="K8" s="7" t="n">
        <f aca="false">COUNTIFS(Backlog!$A$2:$A$66,$A8,Backlog!$I$2:$I$66,"Could")</f>
        <v>0</v>
      </c>
      <c r="L8" s="8" t="s">
        <v>29</v>
      </c>
    </row>
    <row r="9" customFormat="false" ht="42" hidden="false" customHeight="true" outlineLevel="0" collapsed="false">
      <c r="A9" s="11" t="s">
        <v>30</v>
      </c>
      <c r="B9" s="6" t="s">
        <v>31</v>
      </c>
      <c r="C9" s="7" t="s">
        <v>32</v>
      </c>
      <c r="D9" s="7" t="s">
        <v>33</v>
      </c>
      <c r="E9" s="7" t="n">
        <v>29</v>
      </c>
      <c r="F9" s="7" t="n">
        <v>38</v>
      </c>
      <c r="G9" s="7" t="n">
        <f aca="false">COUNTIF(Backlog!$A$2:$A$66,$A9)</f>
        <v>9</v>
      </c>
      <c r="H9" s="7" t="n">
        <f aca="false">SUMIF(Backlog!$A$2:$A$66,$A9,Backlog!$J$2:$J$66)</f>
        <v>44</v>
      </c>
      <c r="I9" s="7" t="n">
        <f aca="false">COUNTIFS(Backlog!$A$2:$A$66,$A9,Backlog!$I$2:$I$66,"Must")</f>
        <v>4</v>
      </c>
      <c r="J9" s="7" t="n">
        <f aca="false">COUNTIFS(Backlog!$A$2:$A$66,$A9,Backlog!$I$2:$I$66,"Should")</f>
        <v>4</v>
      </c>
      <c r="K9" s="7" t="n">
        <f aca="false">COUNTIFS(Backlog!$A$2:$A$66,$A9,Backlog!$I$2:$I$66,"Could")</f>
        <v>1</v>
      </c>
      <c r="L9" s="8" t="s">
        <v>34</v>
      </c>
    </row>
    <row r="10" customFormat="false" ht="42" hidden="false" customHeight="true" outlineLevel="0" collapsed="false">
      <c r="A10" s="12" t="s">
        <v>35</v>
      </c>
      <c r="B10" s="6" t="s">
        <v>36</v>
      </c>
      <c r="C10" s="7" t="s">
        <v>37</v>
      </c>
      <c r="D10" s="7" t="s">
        <v>38</v>
      </c>
      <c r="E10" s="7" t="n">
        <v>39</v>
      </c>
      <c r="F10" s="7" t="n">
        <v>48</v>
      </c>
      <c r="G10" s="7" t="n">
        <f aca="false">COUNTIF(Backlog!$A$2:$A$66,$A10)</f>
        <v>4</v>
      </c>
      <c r="H10" s="7" t="n">
        <f aca="false">SUMIF(Backlog!$A$2:$A$66,$A10,Backlog!$J$2:$J$66)</f>
        <v>34</v>
      </c>
      <c r="I10" s="7" t="n">
        <f aca="false">COUNTIFS(Backlog!$A$2:$A$66,$A10,Backlog!$I$2:$I$66,"Must")</f>
        <v>0</v>
      </c>
      <c r="J10" s="7" t="n">
        <f aca="false">COUNTIFS(Backlog!$A$2:$A$66,$A10,Backlog!$I$2:$I$66,"Should")</f>
        <v>3</v>
      </c>
      <c r="K10" s="7" t="n">
        <f aca="false">COUNTIFS(Backlog!$A$2:$A$66,$A10,Backlog!$I$2:$I$66,"Could")</f>
        <v>1</v>
      </c>
      <c r="L10" s="8" t="s">
        <v>39</v>
      </c>
    </row>
    <row r="11" customFormat="false" ht="42" hidden="false" customHeight="true" outlineLevel="0" collapsed="false">
      <c r="A11" s="13" t="s">
        <v>40</v>
      </c>
      <c r="B11" s="6" t="s">
        <v>41</v>
      </c>
      <c r="C11" s="7" t="s">
        <v>42</v>
      </c>
      <c r="D11" s="7" t="s">
        <v>43</v>
      </c>
      <c r="E11" s="7" t="n">
        <v>49</v>
      </c>
      <c r="F11" s="7" t="n">
        <v>60</v>
      </c>
      <c r="G11" s="7" t="n">
        <f aca="false">COUNTIF(Backlog!$A$2:$A$66,$A11)</f>
        <v>6</v>
      </c>
      <c r="H11" s="7" t="n">
        <f aca="false">SUMIF(Backlog!$A$2:$A$66,$A11,Backlog!$J$2:$J$66)</f>
        <v>45</v>
      </c>
      <c r="I11" s="7" t="n">
        <f aca="false">COUNTIFS(Backlog!$A$2:$A$66,$A11,Backlog!$I$2:$I$66,"Must")</f>
        <v>0</v>
      </c>
      <c r="J11" s="7" t="n">
        <f aca="false">COUNTIFS(Backlog!$A$2:$A$66,$A11,Backlog!$I$2:$I$66,"Should")</f>
        <v>5</v>
      </c>
      <c r="K11" s="7" t="n">
        <f aca="false">COUNTIFS(Backlog!$A$2:$A$66,$A11,Backlog!$I$2:$I$66,"Could")</f>
        <v>1</v>
      </c>
      <c r="L11" s="8" t="s">
        <v>44</v>
      </c>
    </row>
    <row r="12" customFormat="false" ht="15" hidden="false" customHeight="false" outlineLevel="0" collapsed="false">
      <c r="B12" s="14" t="s">
        <v>45</v>
      </c>
      <c r="G12" s="15" t="n">
        <f aca="false">SUM(G6:G11)</f>
        <v>65</v>
      </c>
      <c r="H12" s="15" t="n">
        <f aca="false">SUM(H6:H11)</f>
        <v>384</v>
      </c>
      <c r="I12" s="15" t="n">
        <f aca="false">SUM(I6:I11)</f>
        <v>45</v>
      </c>
      <c r="J12" s="15" t="n">
        <f aca="false">SUM(J6:J11)</f>
        <v>17</v>
      </c>
      <c r="K12" s="15" t="n">
        <f aca="false">SUM(K6:K11)</f>
        <v>3</v>
      </c>
    </row>
    <row r="15" customFormat="false" ht="15" hidden="false" customHeight="false" outlineLevel="0" collapsed="false">
      <c r="A15" s="16" t="s">
        <v>46</v>
      </c>
    </row>
    <row r="16" customFormat="false" ht="15" hidden="false" customHeight="false" outlineLevel="0" collapsed="false">
      <c r="A16" s="17" t="s">
        <v>47</v>
      </c>
      <c r="B16" s="17" t="s">
        <v>48</v>
      </c>
      <c r="C16" s="17" t="s">
        <v>49</v>
      </c>
      <c r="D16" s="17" t="s">
        <v>50</v>
      </c>
    </row>
    <row r="17" customFormat="false" ht="68.65" hidden="false" customHeight="false" outlineLevel="0" collapsed="false">
      <c r="A17" s="6" t="s">
        <v>51</v>
      </c>
      <c r="B17" s="7" t="s">
        <v>52</v>
      </c>
      <c r="C17" s="7" t="s">
        <v>53</v>
      </c>
      <c r="D17" s="8" t="s">
        <v>54</v>
      </c>
    </row>
    <row r="18" customFormat="false" ht="79.85" hidden="false" customHeight="false" outlineLevel="0" collapsed="false">
      <c r="A18" s="6" t="s">
        <v>55</v>
      </c>
      <c r="B18" s="7" t="s">
        <v>56</v>
      </c>
      <c r="C18" s="7" t="s">
        <v>57</v>
      </c>
      <c r="D18" s="8" t="s">
        <v>58</v>
      </c>
    </row>
    <row r="19" customFormat="false" ht="79.85" hidden="false" customHeight="false" outlineLevel="0" collapsed="false">
      <c r="A19" s="6" t="s">
        <v>59</v>
      </c>
      <c r="B19" s="7" t="s">
        <v>60</v>
      </c>
      <c r="C19" s="7" t="s">
        <v>61</v>
      </c>
      <c r="D19" s="8" t="s">
        <v>62</v>
      </c>
    </row>
    <row r="20" customFormat="false" ht="91" hidden="false" customHeight="false" outlineLevel="0" collapsed="false">
      <c r="A20" s="6" t="s">
        <v>63</v>
      </c>
      <c r="B20" s="7" t="s">
        <v>64</v>
      </c>
      <c r="C20" s="7" t="s">
        <v>65</v>
      </c>
      <c r="D20" s="8" t="s">
        <v>66</v>
      </c>
    </row>
    <row r="21" customFormat="false" ht="79.85" hidden="false" customHeight="false" outlineLevel="0" collapsed="false">
      <c r="A21" s="6" t="s">
        <v>67</v>
      </c>
      <c r="B21" s="7" t="s">
        <v>68</v>
      </c>
      <c r="C21" s="7" t="s">
        <v>69</v>
      </c>
      <c r="D21" s="8" t="s">
        <v>70</v>
      </c>
    </row>
    <row r="22" customFormat="false" ht="91" hidden="false" customHeight="false" outlineLevel="0" collapsed="false">
      <c r="A22" s="6" t="s">
        <v>71</v>
      </c>
      <c r="B22" s="7" t="s">
        <v>72</v>
      </c>
      <c r="C22" s="7" t="s">
        <v>73</v>
      </c>
      <c r="D22" s="8" t="s">
        <v>74</v>
      </c>
    </row>
    <row r="23" customFormat="false" ht="79.85" hidden="false" customHeight="false" outlineLevel="0" collapsed="false">
      <c r="A23" s="6" t="s">
        <v>75</v>
      </c>
      <c r="B23" s="7" t="s">
        <v>76</v>
      </c>
      <c r="C23" s="7" t="s">
        <v>77</v>
      </c>
      <c r="D23" s="8" t="s">
        <v>78</v>
      </c>
    </row>
    <row r="26" customFormat="false" ht="15" hidden="false" customHeight="false" outlineLevel="0" collapsed="false">
      <c r="A26" s="16" t="s">
        <v>79</v>
      </c>
    </row>
    <row r="27" customFormat="false" ht="15" hidden="false" customHeight="false" outlineLevel="0" collapsed="false">
      <c r="A27" s="2" t="s">
        <v>80</v>
      </c>
    </row>
    <row r="28" customFormat="false" ht="15" hidden="false" customHeight="false" outlineLevel="0" collapsed="false">
      <c r="A28" s="2" t="s">
        <v>81</v>
      </c>
    </row>
    <row r="29" customFormat="false" ht="15" hidden="false" customHeight="false" outlineLevel="0" collapsed="false">
      <c r="A29" s="2" t="s">
        <v>82</v>
      </c>
    </row>
    <row r="30" customFormat="false" ht="15" hidden="false" customHeight="false" outlineLevel="0" collapsed="false">
      <c r="A30" s="2" t="s">
        <v>83</v>
      </c>
    </row>
    <row r="31" customFormat="false" ht="15" hidden="false" customHeight="false" outlineLevel="0" collapsed="false">
      <c r="A31" s="2" t="s">
        <v>84</v>
      </c>
    </row>
    <row r="32" customFormat="false" ht="15" hidden="false" customHeight="false" outlineLevel="0" collapsed="false">
      <c r="A32" s="2" t="s">
        <v>85</v>
      </c>
    </row>
    <row r="33" customFormat="false" ht="15" hidden="false" customHeight="false" outlineLevel="0" collapsed="false">
      <c r="A33"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1"/>
    <col collapsed="false" customWidth="true" hidden="false" outlineLevel="0" max="4" min="4" style="0" width="6"/>
    <col collapsed="false" customWidth="true" hidden="false" outlineLevel="0" max="5" min="5" style="0" width="24"/>
    <col collapsed="false" customWidth="true" hidden="false" outlineLevel="0" max="6" min="6" style="0" width="16"/>
    <col collapsed="false" customWidth="true" hidden="false" outlineLevel="0" max="7" min="7" style="0" width="40"/>
    <col collapsed="false" customWidth="true" hidden="false" outlineLevel="0" max="8" min="8" style="0" width="66"/>
    <col collapsed="false" customWidth="true" hidden="false" outlineLevel="0" max="9" min="9" style="0" width="9"/>
    <col collapsed="false" customWidth="true" hidden="false" outlineLevel="0" max="10" min="10" style="0" width="8"/>
    <col collapsed="false" customWidth="true" hidden="false" outlineLevel="0" max="11" min="11" style="0" width="10"/>
    <col collapsed="false" customWidth="true" hidden="false" outlineLevel="0" max="12" min="12" style="0" width="9"/>
    <col collapsed="false" customWidth="true" hidden="false" outlineLevel="0" max="14" min="13" style="0" width="14"/>
    <col collapsed="false" customWidth="true" hidden="false" outlineLevel="0" max="15" min="15" style="0" width="28"/>
  </cols>
  <sheetData>
    <row r="1" customFormat="false" ht="30" hidden="false" customHeight="true" outlineLevel="0" collapsed="false">
      <c r="A1" s="4" t="s">
        <v>3</v>
      </c>
      <c r="B1" s="4" t="s">
        <v>87</v>
      </c>
      <c r="C1" s="4" t="s">
        <v>88</v>
      </c>
      <c r="D1" s="4" t="s">
        <v>89</v>
      </c>
      <c r="E1" s="4" t="s">
        <v>90</v>
      </c>
      <c r="F1" s="4" t="s">
        <v>91</v>
      </c>
      <c r="G1" s="4" t="s">
        <v>92</v>
      </c>
      <c r="H1" s="4" t="s">
        <v>93</v>
      </c>
      <c r="I1" s="4" t="s">
        <v>94</v>
      </c>
      <c r="J1" s="4" t="s">
        <v>10</v>
      </c>
      <c r="K1" s="4" t="s">
        <v>95</v>
      </c>
      <c r="L1" s="4" t="s">
        <v>96</v>
      </c>
      <c r="M1" s="4" t="s">
        <v>97</v>
      </c>
      <c r="N1" s="4" t="s">
        <v>98</v>
      </c>
      <c r="O1" s="4" t="s">
        <v>99</v>
      </c>
    </row>
    <row r="2" customFormat="false" ht="35.05" hidden="false" customHeight="false" outlineLevel="0" collapsed="false">
      <c r="A2" s="9" t="s">
        <v>20</v>
      </c>
      <c r="B2" s="7" t="s">
        <v>21</v>
      </c>
      <c r="C2" s="18" t="s">
        <v>100</v>
      </c>
      <c r="D2" s="7" t="s">
        <v>101</v>
      </c>
      <c r="E2" s="7" t="s">
        <v>102</v>
      </c>
      <c r="F2" s="7" t="s">
        <v>103</v>
      </c>
      <c r="G2" s="8" t="s">
        <v>104</v>
      </c>
      <c r="H2" s="8" t="s">
        <v>105</v>
      </c>
      <c r="I2" s="7" t="s">
        <v>11</v>
      </c>
      <c r="J2" s="7" t="n">
        <v>3</v>
      </c>
      <c r="K2" s="7" t="n">
        <v>4</v>
      </c>
      <c r="L2" s="19"/>
      <c r="M2" s="19" t="s">
        <v>106</v>
      </c>
      <c r="N2" s="19"/>
      <c r="O2" s="20"/>
    </row>
    <row r="3" customFormat="false" ht="35.05" hidden="false" customHeight="false" outlineLevel="0" collapsed="false">
      <c r="A3" s="9" t="s">
        <v>20</v>
      </c>
      <c r="B3" s="7" t="s">
        <v>21</v>
      </c>
      <c r="C3" s="18" t="s">
        <v>107</v>
      </c>
      <c r="D3" s="7" t="s">
        <v>101</v>
      </c>
      <c r="E3" s="7" t="s">
        <v>102</v>
      </c>
      <c r="F3" s="7" t="s">
        <v>103</v>
      </c>
      <c r="G3" s="8" t="s">
        <v>108</v>
      </c>
      <c r="H3" s="8" t="s">
        <v>109</v>
      </c>
      <c r="I3" s="7" t="s">
        <v>11</v>
      </c>
      <c r="J3" s="7" t="n">
        <v>3</v>
      </c>
      <c r="K3" s="7" t="n">
        <v>4</v>
      </c>
      <c r="L3" s="19"/>
      <c r="M3" s="19" t="s">
        <v>106</v>
      </c>
      <c r="N3" s="19"/>
      <c r="O3" s="20"/>
    </row>
    <row r="4" customFormat="false" ht="35.05" hidden="false" customHeight="false" outlineLevel="0" collapsed="false">
      <c r="A4" s="9" t="s">
        <v>20</v>
      </c>
      <c r="B4" s="7" t="s">
        <v>21</v>
      </c>
      <c r="C4" s="18" t="s">
        <v>110</v>
      </c>
      <c r="D4" s="7" t="s">
        <v>101</v>
      </c>
      <c r="E4" s="7" t="s">
        <v>102</v>
      </c>
      <c r="F4" s="7" t="s">
        <v>103</v>
      </c>
      <c r="G4" s="8" t="s">
        <v>111</v>
      </c>
      <c r="H4" s="8" t="s">
        <v>112</v>
      </c>
      <c r="I4" s="7" t="s">
        <v>11</v>
      </c>
      <c r="J4" s="7" t="n">
        <v>3</v>
      </c>
      <c r="K4" s="7" t="n">
        <v>3</v>
      </c>
      <c r="L4" s="19"/>
      <c r="M4" s="19" t="s">
        <v>106</v>
      </c>
      <c r="N4" s="19"/>
      <c r="O4" s="20"/>
    </row>
    <row r="5" customFormat="false" ht="35.05" hidden="false" customHeight="false" outlineLevel="0" collapsed="false">
      <c r="A5" s="9" t="s">
        <v>20</v>
      </c>
      <c r="B5" s="7" t="s">
        <v>21</v>
      </c>
      <c r="C5" s="18" t="s">
        <v>113</v>
      </c>
      <c r="D5" s="7" t="s">
        <v>101</v>
      </c>
      <c r="E5" s="7" t="s">
        <v>102</v>
      </c>
      <c r="F5" s="7" t="s">
        <v>103</v>
      </c>
      <c r="G5" s="8" t="s">
        <v>114</v>
      </c>
      <c r="H5" s="8" t="s">
        <v>115</v>
      </c>
      <c r="I5" s="7" t="s">
        <v>12</v>
      </c>
      <c r="J5" s="7" t="n">
        <v>2</v>
      </c>
      <c r="K5" s="7" t="n">
        <v>4</v>
      </c>
      <c r="L5" s="19"/>
      <c r="M5" s="19" t="s">
        <v>106</v>
      </c>
      <c r="N5" s="19"/>
      <c r="O5" s="20"/>
    </row>
    <row r="6" customFormat="false" ht="23.85" hidden="false" customHeight="false" outlineLevel="0" collapsed="false">
      <c r="A6" s="9" t="s">
        <v>20</v>
      </c>
      <c r="B6" s="7" t="s">
        <v>21</v>
      </c>
      <c r="C6" s="18" t="s">
        <v>116</v>
      </c>
      <c r="D6" s="7" t="s">
        <v>101</v>
      </c>
      <c r="E6" s="7" t="s">
        <v>102</v>
      </c>
      <c r="F6" s="7" t="s">
        <v>103</v>
      </c>
      <c r="G6" s="8" t="s">
        <v>117</v>
      </c>
      <c r="H6" s="8" t="s">
        <v>118</v>
      </c>
      <c r="I6" s="7" t="s">
        <v>11</v>
      </c>
      <c r="J6" s="7" t="n">
        <v>8</v>
      </c>
      <c r="K6" s="7" t="n">
        <v>6</v>
      </c>
      <c r="L6" s="19"/>
      <c r="M6" s="19" t="s">
        <v>106</v>
      </c>
      <c r="N6" s="19"/>
      <c r="O6" s="20"/>
    </row>
    <row r="7" customFormat="false" ht="23.85" hidden="false" customHeight="false" outlineLevel="0" collapsed="false">
      <c r="A7" s="9" t="s">
        <v>20</v>
      </c>
      <c r="B7" s="7" t="s">
        <v>21</v>
      </c>
      <c r="C7" s="18" t="s">
        <v>119</v>
      </c>
      <c r="D7" s="7" t="s">
        <v>101</v>
      </c>
      <c r="E7" s="7" t="s">
        <v>102</v>
      </c>
      <c r="F7" s="7" t="s">
        <v>120</v>
      </c>
      <c r="G7" s="8" t="s">
        <v>121</v>
      </c>
      <c r="H7" s="8" t="s">
        <v>122</v>
      </c>
      <c r="I7" s="7" t="s">
        <v>11</v>
      </c>
      <c r="J7" s="7" t="n">
        <v>5</v>
      </c>
      <c r="K7" s="7" t="n">
        <v>5</v>
      </c>
      <c r="L7" s="19"/>
      <c r="M7" s="19" t="s">
        <v>106</v>
      </c>
      <c r="N7" s="19"/>
      <c r="O7" s="20"/>
    </row>
    <row r="8" customFormat="false" ht="35.05" hidden="false" customHeight="false" outlineLevel="0" collapsed="false">
      <c r="A8" s="9" t="s">
        <v>20</v>
      </c>
      <c r="B8" s="7" t="s">
        <v>21</v>
      </c>
      <c r="C8" s="18" t="s">
        <v>123</v>
      </c>
      <c r="D8" s="7" t="s">
        <v>124</v>
      </c>
      <c r="E8" s="7" t="s">
        <v>125</v>
      </c>
      <c r="F8" s="7" t="s">
        <v>120</v>
      </c>
      <c r="G8" s="8" t="s">
        <v>126</v>
      </c>
      <c r="H8" s="8" t="s">
        <v>127</v>
      </c>
      <c r="I8" s="7" t="s">
        <v>11</v>
      </c>
      <c r="J8" s="7" t="n">
        <v>8</v>
      </c>
      <c r="K8" s="7" t="n">
        <v>5</v>
      </c>
      <c r="L8" s="19"/>
      <c r="M8" s="19" t="s">
        <v>106</v>
      </c>
      <c r="N8" s="19"/>
      <c r="O8" s="20"/>
    </row>
    <row r="9" customFormat="false" ht="35.05" hidden="false" customHeight="false" outlineLevel="0" collapsed="false">
      <c r="A9" s="9" t="s">
        <v>20</v>
      </c>
      <c r="B9" s="7" t="s">
        <v>21</v>
      </c>
      <c r="C9" s="18" t="s">
        <v>128</v>
      </c>
      <c r="D9" s="7" t="s">
        <v>124</v>
      </c>
      <c r="E9" s="7" t="s">
        <v>125</v>
      </c>
      <c r="F9" s="7" t="s">
        <v>120</v>
      </c>
      <c r="G9" s="8" t="s">
        <v>129</v>
      </c>
      <c r="H9" s="8" t="s">
        <v>130</v>
      </c>
      <c r="I9" s="7" t="s">
        <v>11</v>
      </c>
      <c r="J9" s="7" t="n">
        <v>5</v>
      </c>
      <c r="K9" s="7" t="n">
        <v>5</v>
      </c>
      <c r="L9" s="19"/>
      <c r="M9" s="19" t="s">
        <v>106</v>
      </c>
      <c r="N9" s="19"/>
      <c r="O9" s="20"/>
    </row>
    <row r="10" customFormat="false" ht="35.05" hidden="false" customHeight="false" outlineLevel="0" collapsed="false">
      <c r="A10" s="9" t="s">
        <v>20</v>
      </c>
      <c r="B10" s="7" t="s">
        <v>21</v>
      </c>
      <c r="C10" s="18" t="s">
        <v>131</v>
      </c>
      <c r="D10" s="7" t="s">
        <v>132</v>
      </c>
      <c r="E10" s="7" t="s">
        <v>133</v>
      </c>
      <c r="F10" s="7" t="s">
        <v>120</v>
      </c>
      <c r="G10" s="8" t="s">
        <v>134</v>
      </c>
      <c r="H10" s="8" t="s">
        <v>135</v>
      </c>
      <c r="I10" s="7" t="s">
        <v>11</v>
      </c>
      <c r="J10" s="7" t="n">
        <v>5</v>
      </c>
      <c r="K10" s="7" t="n">
        <v>5</v>
      </c>
      <c r="L10" s="19"/>
      <c r="M10" s="19" t="s">
        <v>106</v>
      </c>
      <c r="N10" s="19"/>
      <c r="O10" s="20"/>
    </row>
    <row r="11" customFormat="false" ht="23.85" hidden="false" customHeight="false" outlineLevel="0" collapsed="false">
      <c r="A11" s="9" t="s">
        <v>20</v>
      </c>
      <c r="B11" s="7" t="s">
        <v>21</v>
      </c>
      <c r="C11" s="18" t="s">
        <v>136</v>
      </c>
      <c r="D11" s="7" t="s">
        <v>137</v>
      </c>
      <c r="E11" s="7" t="s">
        <v>138</v>
      </c>
      <c r="F11" s="7" t="s">
        <v>120</v>
      </c>
      <c r="G11" s="8" t="s">
        <v>139</v>
      </c>
      <c r="H11" s="8" t="s">
        <v>140</v>
      </c>
      <c r="I11" s="7" t="s">
        <v>11</v>
      </c>
      <c r="J11" s="7" t="n">
        <v>5</v>
      </c>
      <c r="K11" s="7" t="n">
        <v>5</v>
      </c>
      <c r="L11" s="19"/>
      <c r="M11" s="19" t="s">
        <v>106</v>
      </c>
      <c r="N11" s="19"/>
      <c r="O11" s="20"/>
    </row>
    <row r="12" customFormat="false" ht="35.05" hidden="false" customHeight="false" outlineLevel="0" collapsed="false">
      <c r="A12" s="9" t="s">
        <v>20</v>
      </c>
      <c r="B12" s="7" t="s">
        <v>21</v>
      </c>
      <c r="C12" s="18" t="s">
        <v>141</v>
      </c>
      <c r="D12" s="7" t="s">
        <v>137</v>
      </c>
      <c r="E12" s="7" t="s">
        <v>138</v>
      </c>
      <c r="F12" s="7" t="s">
        <v>120</v>
      </c>
      <c r="G12" s="8" t="s">
        <v>142</v>
      </c>
      <c r="H12" s="8" t="s">
        <v>143</v>
      </c>
      <c r="I12" s="7" t="s">
        <v>11</v>
      </c>
      <c r="J12" s="7" t="n">
        <v>5</v>
      </c>
      <c r="K12" s="7" t="n">
        <v>5</v>
      </c>
      <c r="L12" s="19"/>
      <c r="M12" s="19" t="s">
        <v>106</v>
      </c>
      <c r="N12" s="19"/>
      <c r="O12" s="20"/>
    </row>
    <row r="13" customFormat="false" ht="35.05" hidden="false" customHeight="false" outlineLevel="0" collapsed="false">
      <c r="A13" s="9" t="s">
        <v>20</v>
      </c>
      <c r="B13" s="7" t="s">
        <v>21</v>
      </c>
      <c r="C13" s="18" t="s">
        <v>144</v>
      </c>
      <c r="D13" s="7" t="s">
        <v>137</v>
      </c>
      <c r="E13" s="7" t="s">
        <v>138</v>
      </c>
      <c r="F13" s="7" t="s">
        <v>120</v>
      </c>
      <c r="G13" s="8" t="s">
        <v>145</v>
      </c>
      <c r="H13" s="8" t="s">
        <v>146</v>
      </c>
      <c r="I13" s="7" t="s">
        <v>11</v>
      </c>
      <c r="J13" s="7" t="n">
        <v>5</v>
      </c>
      <c r="K13" s="7" t="n">
        <v>4</v>
      </c>
      <c r="L13" s="19"/>
      <c r="M13" s="19" t="s">
        <v>106</v>
      </c>
      <c r="N13" s="19"/>
      <c r="O13" s="20"/>
    </row>
    <row r="14" customFormat="false" ht="35.05" hidden="false" customHeight="false" outlineLevel="0" collapsed="false">
      <c r="A14" s="9" t="s">
        <v>20</v>
      </c>
      <c r="B14" s="7" t="s">
        <v>21</v>
      </c>
      <c r="C14" s="18" t="s">
        <v>147</v>
      </c>
      <c r="D14" s="7" t="s">
        <v>137</v>
      </c>
      <c r="E14" s="7" t="s">
        <v>138</v>
      </c>
      <c r="F14" s="7" t="s">
        <v>120</v>
      </c>
      <c r="G14" s="8" t="s">
        <v>148</v>
      </c>
      <c r="H14" s="8" t="s">
        <v>149</v>
      </c>
      <c r="I14" s="7" t="s">
        <v>11</v>
      </c>
      <c r="J14" s="7" t="n">
        <v>3</v>
      </c>
      <c r="K14" s="7" t="n">
        <v>4</v>
      </c>
      <c r="L14" s="19"/>
      <c r="M14" s="19" t="s">
        <v>106</v>
      </c>
      <c r="N14" s="19"/>
      <c r="O14" s="20"/>
    </row>
    <row r="15" customFormat="false" ht="35.05" hidden="false" customHeight="false" outlineLevel="0" collapsed="false">
      <c r="A15" s="9" t="s">
        <v>20</v>
      </c>
      <c r="B15" s="7" t="s">
        <v>21</v>
      </c>
      <c r="C15" s="18" t="s">
        <v>150</v>
      </c>
      <c r="D15" s="7" t="s">
        <v>151</v>
      </c>
      <c r="E15" s="7" t="s">
        <v>152</v>
      </c>
      <c r="F15" s="7" t="s">
        <v>103</v>
      </c>
      <c r="G15" s="8" t="s">
        <v>153</v>
      </c>
      <c r="H15" s="8" t="s">
        <v>154</v>
      </c>
      <c r="I15" s="7" t="s">
        <v>11</v>
      </c>
      <c r="J15" s="7" t="n">
        <v>5</v>
      </c>
      <c r="K15" s="7" t="n">
        <v>4</v>
      </c>
      <c r="L15" s="19"/>
      <c r="M15" s="19" t="s">
        <v>106</v>
      </c>
      <c r="N15" s="19"/>
      <c r="O15" s="20"/>
    </row>
    <row r="16" customFormat="false" ht="35.05" hidden="false" customHeight="false" outlineLevel="0" collapsed="false">
      <c r="A16" s="9" t="s">
        <v>20</v>
      </c>
      <c r="B16" s="7" t="s">
        <v>21</v>
      </c>
      <c r="C16" s="18" t="s">
        <v>155</v>
      </c>
      <c r="D16" s="7" t="s">
        <v>151</v>
      </c>
      <c r="E16" s="7" t="s">
        <v>152</v>
      </c>
      <c r="F16" s="7" t="s">
        <v>103</v>
      </c>
      <c r="G16" s="8" t="s">
        <v>156</v>
      </c>
      <c r="H16" s="8" t="s">
        <v>157</v>
      </c>
      <c r="I16" s="7" t="s">
        <v>11</v>
      </c>
      <c r="J16" s="7" t="n">
        <v>8</v>
      </c>
      <c r="K16" s="7" t="n">
        <v>4</v>
      </c>
      <c r="L16" s="19"/>
      <c r="M16" s="19" t="s">
        <v>106</v>
      </c>
      <c r="N16" s="19"/>
      <c r="O16" s="20"/>
    </row>
    <row r="17" customFormat="false" ht="23.85" hidden="false" customHeight="false" outlineLevel="0" collapsed="false">
      <c r="A17" s="9" t="s">
        <v>20</v>
      </c>
      <c r="B17" s="7" t="s">
        <v>21</v>
      </c>
      <c r="C17" s="18" t="s">
        <v>158</v>
      </c>
      <c r="D17" s="7" t="s">
        <v>151</v>
      </c>
      <c r="E17" s="7" t="s">
        <v>152</v>
      </c>
      <c r="F17" s="7" t="s">
        <v>103</v>
      </c>
      <c r="G17" s="8" t="s">
        <v>159</v>
      </c>
      <c r="H17" s="8" t="s">
        <v>160</v>
      </c>
      <c r="I17" s="7" t="s">
        <v>11</v>
      </c>
      <c r="J17" s="7" t="n">
        <v>5</v>
      </c>
      <c r="K17" s="7" t="n">
        <v>4</v>
      </c>
      <c r="L17" s="19"/>
      <c r="M17" s="19" t="s">
        <v>106</v>
      </c>
      <c r="N17" s="19"/>
      <c r="O17" s="20"/>
    </row>
    <row r="18" customFormat="false" ht="23.85" hidden="false" customHeight="false" outlineLevel="0" collapsed="false">
      <c r="A18" s="9" t="s">
        <v>20</v>
      </c>
      <c r="B18" s="7" t="s">
        <v>21</v>
      </c>
      <c r="C18" s="18" t="s">
        <v>161</v>
      </c>
      <c r="D18" s="7" t="s">
        <v>151</v>
      </c>
      <c r="E18" s="7" t="s">
        <v>152</v>
      </c>
      <c r="F18" s="7" t="s">
        <v>103</v>
      </c>
      <c r="G18" s="8" t="s">
        <v>162</v>
      </c>
      <c r="H18" s="8" t="s">
        <v>163</v>
      </c>
      <c r="I18" s="7" t="s">
        <v>11</v>
      </c>
      <c r="J18" s="7" t="n">
        <v>5</v>
      </c>
      <c r="K18" s="7" t="n">
        <v>4</v>
      </c>
      <c r="L18" s="19"/>
      <c r="M18" s="19" t="s">
        <v>106</v>
      </c>
      <c r="N18" s="19"/>
      <c r="O18" s="20"/>
    </row>
    <row r="19" customFormat="false" ht="35.05" hidden="false" customHeight="false" outlineLevel="0" collapsed="false">
      <c r="A19" s="9" t="s">
        <v>20</v>
      </c>
      <c r="B19" s="7" t="s">
        <v>21</v>
      </c>
      <c r="C19" s="18" t="s">
        <v>164</v>
      </c>
      <c r="D19" s="7" t="s">
        <v>151</v>
      </c>
      <c r="E19" s="7" t="s">
        <v>152</v>
      </c>
      <c r="F19" s="7" t="s">
        <v>103</v>
      </c>
      <c r="G19" s="8" t="s">
        <v>165</v>
      </c>
      <c r="H19" s="8" t="s">
        <v>166</v>
      </c>
      <c r="I19" s="7" t="s">
        <v>11</v>
      </c>
      <c r="J19" s="7" t="n">
        <v>8</v>
      </c>
      <c r="K19" s="7" t="n">
        <v>5</v>
      </c>
      <c r="L19" s="19"/>
      <c r="M19" s="19" t="s">
        <v>106</v>
      </c>
      <c r="N19" s="19"/>
      <c r="O19" s="20"/>
    </row>
    <row r="20" customFormat="false" ht="35.05" hidden="false" customHeight="false" outlineLevel="0" collapsed="false">
      <c r="A20" s="9" t="s">
        <v>20</v>
      </c>
      <c r="B20" s="7" t="s">
        <v>21</v>
      </c>
      <c r="C20" s="18" t="s">
        <v>167</v>
      </c>
      <c r="D20" s="7" t="s">
        <v>151</v>
      </c>
      <c r="E20" s="7" t="s">
        <v>152</v>
      </c>
      <c r="F20" s="7" t="s">
        <v>103</v>
      </c>
      <c r="G20" s="8" t="s">
        <v>168</v>
      </c>
      <c r="H20" s="8" t="s">
        <v>169</v>
      </c>
      <c r="I20" s="7" t="s">
        <v>11</v>
      </c>
      <c r="J20" s="7" t="n">
        <v>5</v>
      </c>
      <c r="K20" s="7" t="n">
        <v>4</v>
      </c>
      <c r="L20" s="19"/>
      <c r="M20" s="19" t="s">
        <v>106</v>
      </c>
      <c r="N20" s="19"/>
      <c r="O20" s="20"/>
    </row>
    <row r="21" customFormat="false" ht="35.05" hidden="false" customHeight="false" outlineLevel="0" collapsed="false">
      <c r="A21" s="9" t="s">
        <v>20</v>
      </c>
      <c r="B21" s="7" t="s">
        <v>21</v>
      </c>
      <c r="C21" s="18" t="s">
        <v>170</v>
      </c>
      <c r="D21" s="7" t="s">
        <v>151</v>
      </c>
      <c r="E21" s="7" t="s">
        <v>152</v>
      </c>
      <c r="F21" s="7" t="s">
        <v>103</v>
      </c>
      <c r="G21" s="8" t="s">
        <v>171</v>
      </c>
      <c r="H21" s="8" t="s">
        <v>172</v>
      </c>
      <c r="I21" s="7" t="s">
        <v>11</v>
      </c>
      <c r="J21" s="7" t="n">
        <v>5</v>
      </c>
      <c r="K21" s="7" t="n">
        <v>4</v>
      </c>
      <c r="L21" s="19"/>
      <c r="M21" s="19" t="s">
        <v>106</v>
      </c>
      <c r="N21" s="19"/>
      <c r="O21" s="20"/>
    </row>
    <row r="22" customFormat="false" ht="35.05" hidden="false" customHeight="false" outlineLevel="0" collapsed="false">
      <c r="A22" s="9" t="s">
        <v>20</v>
      </c>
      <c r="B22" s="7" t="s">
        <v>21</v>
      </c>
      <c r="C22" s="18" t="s">
        <v>173</v>
      </c>
      <c r="D22" s="7" t="s">
        <v>151</v>
      </c>
      <c r="E22" s="7" t="s">
        <v>152</v>
      </c>
      <c r="F22" s="7" t="s">
        <v>103</v>
      </c>
      <c r="G22" s="8" t="s">
        <v>174</v>
      </c>
      <c r="H22" s="8" t="s">
        <v>175</v>
      </c>
      <c r="I22" s="7" t="s">
        <v>11</v>
      </c>
      <c r="J22" s="7" t="n">
        <v>3</v>
      </c>
      <c r="K22" s="7" t="n">
        <v>4</v>
      </c>
      <c r="L22" s="19"/>
      <c r="M22" s="19" t="s">
        <v>106</v>
      </c>
      <c r="N22" s="19"/>
      <c r="O22" s="20"/>
    </row>
    <row r="23" customFormat="false" ht="35.05" hidden="false" customHeight="false" outlineLevel="0" collapsed="false">
      <c r="A23" s="9" t="s">
        <v>20</v>
      </c>
      <c r="B23" s="7" t="s">
        <v>21</v>
      </c>
      <c r="C23" s="18" t="s">
        <v>176</v>
      </c>
      <c r="D23" s="7" t="s">
        <v>151</v>
      </c>
      <c r="E23" s="7" t="s">
        <v>152</v>
      </c>
      <c r="F23" s="7" t="s">
        <v>103</v>
      </c>
      <c r="G23" s="8" t="s">
        <v>177</v>
      </c>
      <c r="H23" s="8" t="s">
        <v>178</v>
      </c>
      <c r="I23" s="7" t="s">
        <v>11</v>
      </c>
      <c r="J23" s="7" t="n">
        <v>5</v>
      </c>
      <c r="K23" s="7" t="n">
        <v>4</v>
      </c>
      <c r="L23" s="19"/>
      <c r="M23" s="19" t="s">
        <v>106</v>
      </c>
      <c r="N23" s="19"/>
      <c r="O23" s="20"/>
    </row>
    <row r="24" customFormat="false" ht="23.85" hidden="false" customHeight="false" outlineLevel="0" collapsed="false">
      <c r="A24" s="9" t="s">
        <v>20</v>
      </c>
      <c r="B24" s="7" t="s">
        <v>21</v>
      </c>
      <c r="C24" s="18" t="s">
        <v>179</v>
      </c>
      <c r="D24" s="7" t="s">
        <v>151</v>
      </c>
      <c r="E24" s="7" t="s">
        <v>152</v>
      </c>
      <c r="F24" s="7" t="s">
        <v>103</v>
      </c>
      <c r="G24" s="8" t="s">
        <v>180</v>
      </c>
      <c r="H24" s="8" t="s">
        <v>181</v>
      </c>
      <c r="I24" s="7" t="s">
        <v>11</v>
      </c>
      <c r="J24" s="7" t="n">
        <v>3</v>
      </c>
      <c r="K24" s="7" t="n">
        <v>5</v>
      </c>
      <c r="L24" s="19"/>
      <c r="M24" s="19" t="s">
        <v>106</v>
      </c>
      <c r="N24" s="19"/>
      <c r="O24" s="20"/>
    </row>
    <row r="25" customFormat="false" ht="35.05" hidden="false" customHeight="false" outlineLevel="0" collapsed="false">
      <c r="A25" s="9" t="s">
        <v>20</v>
      </c>
      <c r="B25" s="7" t="s">
        <v>21</v>
      </c>
      <c r="C25" s="18" t="s">
        <v>182</v>
      </c>
      <c r="D25" s="7" t="s">
        <v>183</v>
      </c>
      <c r="E25" s="7" t="s">
        <v>184</v>
      </c>
      <c r="F25" s="7" t="s">
        <v>185</v>
      </c>
      <c r="G25" s="8" t="s">
        <v>186</v>
      </c>
      <c r="H25" s="8" t="s">
        <v>187</v>
      </c>
      <c r="I25" s="7" t="s">
        <v>11</v>
      </c>
      <c r="J25" s="7" t="n">
        <v>8</v>
      </c>
      <c r="K25" s="7" t="n">
        <v>5</v>
      </c>
      <c r="L25" s="19"/>
      <c r="M25" s="19" t="s">
        <v>106</v>
      </c>
      <c r="N25" s="19"/>
      <c r="O25" s="20"/>
    </row>
    <row r="26" customFormat="false" ht="35.05" hidden="false" customHeight="false" outlineLevel="0" collapsed="false">
      <c r="A26" s="9" t="s">
        <v>20</v>
      </c>
      <c r="B26" s="7" t="s">
        <v>21</v>
      </c>
      <c r="C26" s="18" t="s">
        <v>188</v>
      </c>
      <c r="D26" s="7" t="s">
        <v>183</v>
      </c>
      <c r="E26" s="7" t="s">
        <v>184</v>
      </c>
      <c r="F26" s="7" t="s">
        <v>103</v>
      </c>
      <c r="G26" s="8" t="s">
        <v>189</v>
      </c>
      <c r="H26" s="8" t="s">
        <v>190</v>
      </c>
      <c r="I26" s="7" t="s">
        <v>11</v>
      </c>
      <c r="J26" s="7" t="n">
        <v>8</v>
      </c>
      <c r="K26" s="7" t="n">
        <v>5</v>
      </c>
      <c r="L26" s="19"/>
      <c r="M26" s="19" t="s">
        <v>106</v>
      </c>
      <c r="N26" s="19"/>
      <c r="O26" s="20"/>
    </row>
    <row r="27" customFormat="false" ht="35.05" hidden="false" customHeight="false" outlineLevel="0" collapsed="false">
      <c r="A27" s="9" t="s">
        <v>20</v>
      </c>
      <c r="B27" s="7" t="s">
        <v>21</v>
      </c>
      <c r="C27" s="18" t="s">
        <v>191</v>
      </c>
      <c r="D27" s="7" t="s">
        <v>183</v>
      </c>
      <c r="E27" s="7" t="s">
        <v>184</v>
      </c>
      <c r="F27" s="7" t="s">
        <v>120</v>
      </c>
      <c r="G27" s="8" t="s">
        <v>192</v>
      </c>
      <c r="H27" s="8" t="s">
        <v>193</v>
      </c>
      <c r="I27" s="7" t="s">
        <v>11</v>
      </c>
      <c r="J27" s="7" t="n">
        <v>5</v>
      </c>
      <c r="K27" s="7" t="n">
        <v>4</v>
      </c>
      <c r="L27" s="19"/>
      <c r="M27" s="19" t="s">
        <v>106</v>
      </c>
      <c r="N27" s="19"/>
      <c r="O27" s="20"/>
    </row>
    <row r="28" customFormat="false" ht="23.85" hidden="false" customHeight="false" outlineLevel="0" collapsed="false">
      <c r="A28" s="9" t="s">
        <v>20</v>
      </c>
      <c r="B28" s="7" t="s">
        <v>21</v>
      </c>
      <c r="C28" s="18" t="s">
        <v>194</v>
      </c>
      <c r="D28" s="7" t="s">
        <v>195</v>
      </c>
      <c r="E28" s="7" t="s">
        <v>196</v>
      </c>
      <c r="F28" s="7" t="s">
        <v>103</v>
      </c>
      <c r="G28" s="8" t="s">
        <v>197</v>
      </c>
      <c r="H28" s="8" t="s">
        <v>198</v>
      </c>
      <c r="I28" s="7" t="s">
        <v>11</v>
      </c>
      <c r="J28" s="7" t="n">
        <v>3</v>
      </c>
      <c r="K28" s="7" t="n">
        <v>4</v>
      </c>
      <c r="L28" s="19"/>
      <c r="M28" s="19" t="s">
        <v>106</v>
      </c>
      <c r="N28" s="19"/>
      <c r="O28" s="20"/>
    </row>
    <row r="29" customFormat="false" ht="35.05" hidden="false" customHeight="false" outlineLevel="0" collapsed="false">
      <c r="A29" s="9" t="s">
        <v>20</v>
      </c>
      <c r="B29" s="7" t="s">
        <v>21</v>
      </c>
      <c r="C29" s="18" t="s">
        <v>199</v>
      </c>
      <c r="D29" s="7" t="s">
        <v>195</v>
      </c>
      <c r="E29" s="7" t="s">
        <v>196</v>
      </c>
      <c r="F29" s="7" t="s">
        <v>103</v>
      </c>
      <c r="G29" s="8" t="s">
        <v>200</v>
      </c>
      <c r="H29" s="8" t="s">
        <v>201</v>
      </c>
      <c r="I29" s="7" t="s">
        <v>11</v>
      </c>
      <c r="J29" s="7" t="n">
        <v>5</v>
      </c>
      <c r="K29" s="7" t="n">
        <v>4</v>
      </c>
      <c r="L29" s="19"/>
      <c r="M29" s="19" t="s">
        <v>106</v>
      </c>
      <c r="N29" s="19"/>
      <c r="O29" s="20"/>
    </row>
    <row r="30" customFormat="false" ht="23.85" hidden="false" customHeight="false" outlineLevel="0" collapsed="false">
      <c r="A30" s="9" t="s">
        <v>20</v>
      </c>
      <c r="B30" s="7" t="s">
        <v>21</v>
      </c>
      <c r="C30" s="18" t="s">
        <v>202</v>
      </c>
      <c r="D30" s="7" t="s">
        <v>203</v>
      </c>
      <c r="E30" s="7" t="s">
        <v>204</v>
      </c>
      <c r="F30" s="7" t="s">
        <v>103</v>
      </c>
      <c r="G30" s="8" t="s">
        <v>205</v>
      </c>
      <c r="H30" s="8" t="s">
        <v>206</v>
      </c>
      <c r="I30" s="7" t="s">
        <v>11</v>
      </c>
      <c r="J30" s="7" t="n">
        <v>5</v>
      </c>
      <c r="K30" s="7" t="n">
        <v>4</v>
      </c>
      <c r="L30" s="19"/>
      <c r="M30" s="19" t="s">
        <v>106</v>
      </c>
      <c r="N30" s="19"/>
      <c r="O30" s="20"/>
    </row>
    <row r="31" customFormat="false" ht="23.85" hidden="false" customHeight="false" outlineLevel="0" collapsed="false">
      <c r="A31" s="9" t="s">
        <v>20</v>
      </c>
      <c r="B31" s="7" t="s">
        <v>21</v>
      </c>
      <c r="C31" s="18" t="s">
        <v>207</v>
      </c>
      <c r="D31" s="7" t="s">
        <v>203</v>
      </c>
      <c r="E31" s="7" t="s">
        <v>204</v>
      </c>
      <c r="F31" s="7" t="s">
        <v>103</v>
      </c>
      <c r="G31" s="8" t="s">
        <v>208</v>
      </c>
      <c r="H31" s="8" t="s">
        <v>209</v>
      </c>
      <c r="I31" s="7" t="s">
        <v>11</v>
      </c>
      <c r="J31" s="7" t="n">
        <v>3</v>
      </c>
      <c r="K31" s="7" t="n">
        <v>4</v>
      </c>
      <c r="L31" s="19"/>
      <c r="M31" s="19" t="s">
        <v>106</v>
      </c>
      <c r="N31" s="19"/>
      <c r="O31" s="20"/>
    </row>
    <row r="32" customFormat="false" ht="23.85" hidden="false" customHeight="false" outlineLevel="0" collapsed="false">
      <c r="A32" s="9" t="s">
        <v>20</v>
      </c>
      <c r="B32" s="7" t="s">
        <v>21</v>
      </c>
      <c r="C32" s="18" t="s">
        <v>210</v>
      </c>
      <c r="D32" s="7" t="s">
        <v>203</v>
      </c>
      <c r="E32" s="7" t="s">
        <v>204</v>
      </c>
      <c r="F32" s="7" t="s">
        <v>103</v>
      </c>
      <c r="G32" s="8" t="s">
        <v>211</v>
      </c>
      <c r="H32" s="8" t="s">
        <v>212</v>
      </c>
      <c r="I32" s="7" t="s">
        <v>11</v>
      </c>
      <c r="J32" s="7" t="n">
        <v>5</v>
      </c>
      <c r="K32" s="7" t="n">
        <v>4</v>
      </c>
      <c r="L32" s="19"/>
      <c r="M32" s="19" t="s">
        <v>106</v>
      </c>
      <c r="N32" s="19"/>
      <c r="O32" s="20"/>
    </row>
    <row r="33" customFormat="false" ht="23.85" hidden="false" customHeight="false" outlineLevel="0" collapsed="false">
      <c r="A33" s="9" t="s">
        <v>20</v>
      </c>
      <c r="B33" s="7" t="s">
        <v>21</v>
      </c>
      <c r="C33" s="18" t="s">
        <v>213</v>
      </c>
      <c r="D33" s="7" t="s">
        <v>203</v>
      </c>
      <c r="E33" s="7" t="s">
        <v>204</v>
      </c>
      <c r="F33" s="7" t="s">
        <v>103</v>
      </c>
      <c r="G33" s="8" t="s">
        <v>214</v>
      </c>
      <c r="H33" s="8" t="s">
        <v>215</v>
      </c>
      <c r="I33" s="7" t="s">
        <v>12</v>
      </c>
      <c r="J33" s="7" t="n">
        <v>2</v>
      </c>
      <c r="K33" s="7" t="n">
        <v>3</v>
      </c>
      <c r="L33" s="19"/>
      <c r="M33" s="19" t="s">
        <v>106</v>
      </c>
      <c r="N33" s="19"/>
      <c r="O33" s="20"/>
    </row>
    <row r="34" customFormat="false" ht="23.85" hidden="false" customHeight="false" outlineLevel="0" collapsed="false">
      <c r="A34" s="10" t="s">
        <v>25</v>
      </c>
      <c r="B34" s="7" t="s">
        <v>26</v>
      </c>
      <c r="C34" s="18" t="s">
        <v>216</v>
      </c>
      <c r="D34" s="7" t="s">
        <v>217</v>
      </c>
      <c r="E34" s="7" t="s">
        <v>218</v>
      </c>
      <c r="F34" s="7" t="s">
        <v>103</v>
      </c>
      <c r="G34" s="8" t="s">
        <v>219</v>
      </c>
      <c r="H34" s="8" t="s">
        <v>220</v>
      </c>
      <c r="I34" s="7" t="s">
        <v>11</v>
      </c>
      <c r="J34" s="7" t="n">
        <v>5</v>
      </c>
      <c r="K34" s="7" t="n">
        <v>4</v>
      </c>
      <c r="L34" s="19"/>
      <c r="M34" s="19" t="s">
        <v>106</v>
      </c>
      <c r="N34" s="19"/>
      <c r="O34" s="20"/>
    </row>
    <row r="35" customFormat="false" ht="35.05" hidden="false" customHeight="false" outlineLevel="0" collapsed="false">
      <c r="A35" s="10" t="s">
        <v>25</v>
      </c>
      <c r="B35" s="7" t="s">
        <v>26</v>
      </c>
      <c r="C35" s="18" t="s">
        <v>221</v>
      </c>
      <c r="D35" s="7" t="s">
        <v>217</v>
      </c>
      <c r="E35" s="7" t="s">
        <v>218</v>
      </c>
      <c r="F35" s="7" t="s">
        <v>103</v>
      </c>
      <c r="G35" s="8" t="s">
        <v>222</v>
      </c>
      <c r="H35" s="8" t="s">
        <v>223</v>
      </c>
      <c r="I35" s="7" t="s">
        <v>11</v>
      </c>
      <c r="J35" s="7" t="n">
        <v>8</v>
      </c>
      <c r="K35" s="7" t="n">
        <v>5</v>
      </c>
      <c r="L35" s="19"/>
      <c r="M35" s="19" t="s">
        <v>106</v>
      </c>
      <c r="N35" s="19"/>
      <c r="O35" s="20"/>
    </row>
    <row r="36" customFormat="false" ht="46.25" hidden="false" customHeight="false" outlineLevel="0" collapsed="false">
      <c r="A36" s="10" t="s">
        <v>25</v>
      </c>
      <c r="B36" s="7" t="s">
        <v>26</v>
      </c>
      <c r="C36" s="18" t="s">
        <v>224</v>
      </c>
      <c r="D36" s="7" t="s">
        <v>217</v>
      </c>
      <c r="E36" s="7" t="s">
        <v>218</v>
      </c>
      <c r="F36" s="7" t="s">
        <v>103</v>
      </c>
      <c r="G36" s="8" t="s">
        <v>225</v>
      </c>
      <c r="H36" s="8" t="s">
        <v>226</v>
      </c>
      <c r="I36" s="7" t="s">
        <v>11</v>
      </c>
      <c r="J36" s="7" t="n">
        <v>5</v>
      </c>
      <c r="K36" s="7" t="n">
        <v>4</v>
      </c>
      <c r="L36" s="19"/>
      <c r="M36" s="19" t="s">
        <v>106</v>
      </c>
      <c r="N36" s="19"/>
      <c r="O36" s="20"/>
    </row>
    <row r="37" customFormat="false" ht="35.05" hidden="false" customHeight="false" outlineLevel="0" collapsed="false">
      <c r="A37" s="10" t="s">
        <v>25</v>
      </c>
      <c r="B37" s="7" t="s">
        <v>26</v>
      </c>
      <c r="C37" s="18" t="s">
        <v>227</v>
      </c>
      <c r="D37" s="7" t="s">
        <v>217</v>
      </c>
      <c r="E37" s="7" t="s">
        <v>218</v>
      </c>
      <c r="F37" s="7" t="s">
        <v>103</v>
      </c>
      <c r="G37" s="8" t="s">
        <v>228</v>
      </c>
      <c r="H37" s="8" t="s">
        <v>229</v>
      </c>
      <c r="I37" s="7" t="s">
        <v>11</v>
      </c>
      <c r="J37" s="7" t="n">
        <v>8</v>
      </c>
      <c r="K37" s="7" t="n">
        <v>5</v>
      </c>
      <c r="L37" s="19"/>
      <c r="M37" s="19" t="s">
        <v>106</v>
      </c>
      <c r="N37" s="19"/>
      <c r="O37" s="20"/>
    </row>
    <row r="38" customFormat="false" ht="35.05" hidden="false" customHeight="false" outlineLevel="0" collapsed="false">
      <c r="A38" s="10" t="s">
        <v>25</v>
      </c>
      <c r="B38" s="7" t="s">
        <v>26</v>
      </c>
      <c r="C38" s="18" t="s">
        <v>230</v>
      </c>
      <c r="D38" s="7" t="s">
        <v>217</v>
      </c>
      <c r="E38" s="7" t="s">
        <v>218</v>
      </c>
      <c r="F38" s="7" t="s">
        <v>103</v>
      </c>
      <c r="G38" s="8" t="s">
        <v>231</v>
      </c>
      <c r="H38" s="8" t="s">
        <v>232</v>
      </c>
      <c r="I38" s="7" t="s">
        <v>11</v>
      </c>
      <c r="J38" s="7" t="n">
        <v>5</v>
      </c>
      <c r="K38" s="7" t="n">
        <v>4</v>
      </c>
      <c r="L38" s="19"/>
      <c r="M38" s="19" t="s">
        <v>106</v>
      </c>
      <c r="N38" s="19"/>
      <c r="O38" s="20"/>
    </row>
    <row r="39" customFormat="false" ht="35.05" hidden="false" customHeight="false" outlineLevel="0" collapsed="false">
      <c r="A39" s="10" t="s">
        <v>25</v>
      </c>
      <c r="B39" s="7" t="s">
        <v>26</v>
      </c>
      <c r="C39" s="18" t="s">
        <v>233</v>
      </c>
      <c r="D39" s="7" t="s">
        <v>217</v>
      </c>
      <c r="E39" s="7" t="s">
        <v>218</v>
      </c>
      <c r="F39" s="7" t="s">
        <v>103</v>
      </c>
      <c r="G39" s="8" t="s">
        <v>234</v>
      </c>
      <c r="H39" s="8" t="s">
        <v>235</v>
      </c>
      <c r="I39" s="7" t="s">
        <v>12</v>
      </c>
      <c r="J39" s="7" t="n">
        <v>5</v>
      </c>
      <c r="K39" s="7" t="n">
        <v>4</v>
      </c>
      <c r="L39" s="19"/>
      <c r="M39" s="19" t="s">
        <v>106</v>
      </c>
      <c r="N39" s="19"/>
      <c r="O39" s="20"/>
    </row>
    <row r="40" customFormat="false" ht="23.85" hidden="false" customHeight="false" outlineLevel="0" collapsed="false">
      <c r="A40" s="10" t="s">
        <v>25</v>
      </c>
      <c r="B40" s="7" t="s">
        <v>26</v>
      </c>
      <c r="C40" s="18" t="s">
        <v>236</v>
      </c>
      <c r="D40" s="7" t="s">
        <v>217</v>
      </c>
      <c r="E40" s="7" t="s">
        <v>218</v>
      </c>
      <c r="F40" s="7" t="s">
        <v>103</v>
      </c>
      <c r="G40" s="8" t="s">
        <v>237</v>
      </c>
      <c r="H40" s="8" t="s">
        <v>238</v>
      </c>
      <c r="I40" s="7" t="s">
        <v>11</v>
      </c>
      <c r="J40" s="7" t="n">
        <v>3</v>
      </c>
      <c r="K40" s="7" t="n">
        <v>4</v>
      </c>
      <c r="L40" s="19"/>
      <c r="M40" s="19" t="s">
        <v>106</v>
      </c>
      <c r="N40" s="19"/>
      <c r="O40" s="20"/>
    </row>
    <row r="41" customFormat="false" ht="35.05" hidden="false" customHeight="false" outlineLevel="0" collapsed="false">
      <c r="A41" s="10" t="s">
        <v>25</v>
      </c>
      <c r="B41" s="7" t="s">
        <v>26</v>
      </c>
      <c r="C41" s="18" t="s">
        <v>239</v>
      </c>
      <c r="D41" s="7" t="s">
        <v>217</v>
      </c>
      <c r="E41" s="7" t="s">
        <v>218</v>
      </c>
      <c r="F41" s="7" t="s">
        <v>103</v>
      </c>
      <c r="G41" s="8" t="s">
        <v>240</v>
      </c>
      <c r="H41" s="8" t="s">
        <v>241</v>
      </c>
      <c r="I41" s="7" t="s">
        <v>11</v>
      </c>
      <c r="J41" s="7" t="n">
        <v>13</v>
      </c>
      <c r="K41" s="7" t="n">
        <v>6</v>
      </c>
      <c r="L41" s="19"/>
      <c r="M41" s="19" t="s">
        <v>106</v>
      </c>
      <c r="N41" s="19"/>
      <c r="O41" s="20"/>
    </row>
    <row r="42" customFormat="false" ht="23.85" hidden="false" customHeight="false" outlineLevel="0" collapsed="false">
      <c r="A42" s="10" t="s">
        <v>25</v>
      </c>
      <c r="B42" s="7" t="s">
        <v>26</v>
      </c>
      <c r="C42" s="18" t="s">
        <v>242</v>
      </c>
      <c r="D42" s="7" t="s">
        <v>217</v>
      </c>
      <c r="E42" s="7" t="s">
        <v>218</v>
      </c>
      <c r="F42" s="7" t="s">
        <v>103</v>
      </c>
      <c r="G42" s="8" t="s">
        <v>243</v>
      </c>
      <c r="H42" s="8" t="s">
        <v>244</v>
      </c>
      <c r="I42" s="7" t="s">
        <v>11</v>
      </c>
      <c r="J42" s="7" t="n">
        <v>8</v>
      </c>
      <c r="K42" s="7" t="n">
        <v>5</v>
      </c>
      <c r="L42" s="19"/>
      <c r="M42" s="19" t="s">
        <v>106</v>
      </c>
      <c r="N42" s="19"/>
      <c r="O42" s="20"/>
    </row>
    <row r="43" customFormat="false" ht="35.05" hidden="false" customHeight="false" outlineLevel="0" collapsed="false">
      <c r="A43" s="10" t="s">
        <v>25</v>
      </c>
      <c r="B43" s="7" t="s">
        <v>26</v>
      </c>
      <c r="C43" s="18" t="s">
        <v>245</v>
      </c>
      <c r="D43" s="7" t="s">
        <v>217</v>
      </c>
      <c r="E43" s="7" t="s">
        <v>218</v>
      </c>
      <c r="F43" s="7" t="s">
        <v>103</v>
      </c>
      <c r="G43" s="8" t="s">
        <v>246</v>
      </c>
      <c r="H43" s="8" t="s">
        <v>247</v>
      </c>
      <c r="I43" s="7" t="s">
        <v>11</v>
      </c>
      <c r="J43" s="7" t="n">
        <v>13</v>
      </c>
      <c r="K43" s="7" t="n">
        <v>7</v>
      </c>
      <c r="L43" s="19"/>
      <c r="M43" s="19" t="s">
        <v>106</v>
      </c>
      <c r="N43" s="19"/>
      <c r="O43" s="20"/>
    </row>
    <row r="44" customFormat="false" ht="35.05" hidden="false" customHeight="false" outlineLevel="0" collapsed="false">
      <c r="A44" s="10" t="s">
        <v>25</v>
      </c>
      <c r="B44" s="7" t="s">
        <v>26</v>
      </c>
      <c r="C44" s="18" t="s">
        <v>248</v>
      </c>
      <c r="D44" s="7" t="s">
        <v>217</v>
      </c>
      <c r="E44" s="7" t="s">
        <v>218</v>
      </c>
      <c r="F44" s="7" t="s">
        <v>103</v>
      </c>
      <c r="G44" s="8" t="s">
        <v>249</v>
      </c>
      <c r="H44" s="8" t="s">
        <v>250</v>
      </c>
      <c r="I44" s="7" t="s">
        <v>12</v>
      </c>
      <c r="J44" s="7" t="n">
        <v>8</v>
      </c>
      <c r="K44" s="7" t="n">
        <v>5</v>
      </c>
      <c r="L44" s="19"/>
      <c r="M44" s="19" t="s">
        <v>106</v>
      </c>
      <c r="N44" s="19"/>
      <c r="O44" s="20"/>
    </row>
    <row r="45" customFormat="false" ht="23.85" hidden="false" customHeight="false" outlineLevel="0" collapsed="false">
      <c r="A45" s="10" t="s">
        <v>25</v>
      </c>
      <c r="B45" s="7" t="s">
        <v>26</v>
      </c>
      <c r="C45" s="18" t="s">
        <v>251</v>
      </c>
      <c r="D45" s="7" t="s">
        <v>217</v>
      </c>
      <c r="E45" s="7" t="s">
        <v>218</v>
      </c>
      <c r="F45" s="7" t="s">
        <v>103</v>
      </c>
      <c r="G45" s="8" t="s">
        <v>252</v>
      </c>
      <c r="H45" s="8" t="s">
        <v>253</v>
      </c>
      <c r="I45" s="7" t="s">
        <v>12</v>
      </c>
      <c r="J45" s="7" t="n">
        <v>8</v>
      </c>
      <c r="K45" s="7" t="n">
        <v>5</v>
      </c>
      <c r="L45" s="19"/>
      <c r="M45" s="19" t="s">
        <v>106</v>
      </c>
      <c r="N45" s="19"/>
      <c r="O45" s="20"/>
    </row>
    <row r="46" customFormat="false" ht="35.05" hidden="false" customHeight="false" outlineLevel="0" collapsed="false">
      <c r="A46" s="10" t="s">
        <v>25</v>
      </c>
      <c r="B46" s="7" t="s">
        <v>26</v>
      </c>
      <c r="C46" s="18" t="s">
        <v>254</v>
      </c>
      <c r="D46" s="7" t="s">
        <v>217</v>
      </c>
      <c r="E46" s="7" t="s">
        <v>218</v>
      </c>
      <c r="F46" s="7" t="s">
        <v>103</v>
      </c>
      <c r="G46" s="8" t="s">
        <v>255</v>
      </c>
      <c r="H46" s="8" t="s">
        <v>256</v>
      </c>
      <c r="I46" s="7" t="s">
        <v>11</v>
      </c>
      <c r="J46" s="7" t="n">
        <v>8</v>
      </c>
      <c r="K46" s="7" t="n">
        <v>5</v>
      </c>
      <c r="L46" s="19"/>
      <c r="M46" s="19" t="s">
        <v>106</v>
      </c>
      <c r="N46" s="19"/>
      <c r="O46" s="20"/>
    </row>
    <row r="47" customFormat="false" ht="35.05" hidden="false" customHeight="false" outlineLevel="0" collapsed="false">
      <c r="A47" s="10" t="s">
        <v>25</v>
      </c>
      <c r="B47" s="7" t="s">
        <v>26</v>
      </c>
      <c r="C47" s="18" t="s">
        <v>257</v>
      </c>
      <c r="D47" s="7" t="s">
        <v>195</v>
      </c>
      <c r="E47" s="7" t="s">
        <v>196</v>
      </c>
      <c r="F47" s="7" t="s">
        <v>103</v>
      </c>
      <c r="G47" s="8" t="s">
        <v>258</v>
      </c>
      <c r="H47" s="8" t="s">
        <v>259</v>
      </c>
      <c r="I47" s="7" t="s">
        <v>11</v>
      </c>
      <c r="J47" s="7" t="n">
        <v>8</v>
      </c>
      <c r="K47" s="7" t="n">
        <v>4</v>
      </c>
      <c r="L47" s="19"/>
      <c r="M47" s="19" t="s">
        <v>106</v>
      </c>
      <c r="N47" s="19"/>
      <c r="O47" s="20"/>
    </row>
    <row r="48" customFormat="false" ht="35.05" hidden="false" customHeight="false" outlineLevel="0" collapsed="false">
      <c r="A48" s="11" t="s">
        <v>30</v>
      </c>
      <c r="B48" s="7" t="s">
        <v>31</v>
      </c>
      <c r="C48" s="18" t="s">
        <v>260</v>
      </c>
      <c r="D48" s="7" t="s">
        <v>101</v>
      </c>
      <c r="E48" s="7" t="s">
        <v>102</v>
      </c>
      <c r="F48" s="7" t="s">
        <v>103</v>
      </c>
      <c r="G48" s="8" t="s">
        <v>261</v>
      </c>
      <c r="H48" s="8" t="s">
        <v>262</v>
      </c>
      <c r="I48" s="7" t="s">
        <v>11</v>
      </c>
      <c r="J48" s="7" t="n">
        <v>5</v>
      </c>
      <c r="K48" s="7" t="n">
        <v>4</v>
      </c>
      <c r="L48" s="19"/>
      <c r="M48" s="19" t="s">
        <v>106</v>
      </c>
      <c r="N48" s="19"/>
      <c r="O48" s="20"/>
    </row>
    <row r="49" customFormat="false" ht="35.05" hidden="false" customHeight="false" outlineLevel="0" collapsed="false">
      <c r="A49" s="11" t="s">
        <v>30</v>
      </c>
      <c r="B49" s="7" t="s">
        <v>31</v>
      </c>
      <c r="C49" s="18" t="s">
        <v>263</v>
      </c>
      <c r="D49" s="7" t="s">
        <v>124</v>
      </c>
      <c r="E49" s="7" t="s">
        <v>125</v>
      </c>
      <c r="F49" s="7" t="s">
        <v>120</v>
      </c>
      <c r="G49" s="8" t="s">
        <v>264</v>
      </c>
      <c r="H49" s="8" t="s">
        <v>265</v>
      </c>
      <c r="I49" s="7" t="s">
        <v>11</v>
      </c>
      <c r="J49" s="7" t="n">
        <v>5</v>
      </c>
      <c r="K49" s="7" t="n">
        <v>5</v>
      </c>
      <c r="L49" s="19"/>
      <c r="M49" s="19" t="s">
        <v>106</v>
      </c>
      <c r="N49" s="19"/>
      <c r="O49" s="20"/>
    </row>
    <row r="50" customFormat="false" ht="35.05" hidden="false" customHeight="false" outlineLevel="0" collapsed="false">
      <c r="A50" s="11" t="s">
        <v>30</v>
      </c>
      <c r="B50" s="7" t="s">
        <v>31</v>
      </c>
      <c r="C50" s="18" t="s">
        <v>266</v>
      </c>
      <c r="D50" s="7" t="s">
        <v>124</v>
      </c>
      <c r="E50" s="7" t="s">
        <v>125</v>
      </c>
      <c r="F50" s="7" t="s">
        <v>120</v>
      </c>
      <c r="G50" s="8" t="s">
        <v>267</v>
      </c>
      <c r="H50" s="8" t="s">
        <v>268</v>
      </c>
      <c r="I50" s="7" t="s">
        <v>11</v>
      </c>
      <c r="J50" s="7" t="n">
        <v>8</v>
      </c>
      <c r="K50" s="7" t="n">
        <v>5</v>
      </c>
      <c r="L50" s="19"/>
      <c r="M50" s="19" t="s">
        <v>106</v>
      </c>
      <c r="N50" s="19"/>
      <c r="O50" s="20"/>
    </row>
    <row r="51" customFormat="false" ht="35.05" hidden="false" customHeight="false" outlineLevel="0" collapsed="false">
      <c r="A51" s="11" t="s">
        <v>30</v>
      </c>
      <c r="B51" s="7" t="s">
        <v>31</v>
      </c>
      <c r="C51" s="18" t="s">
        <v>269</v>
      </c>
      <c r="D51" s="7" t="s">
        <v>132</v>
      </c>
      <c r="E51" s="7" t="s">
        <v>133</v>
      </c>
      <c r="F51" s="7" t="s">
        <v>120</v>
      </c>
      <c r="G51" s="8" t="s">
        <v>270</v>
      </c>
      <c r="H51" s="8" t="s">
        <v>271</v>
      </c>
      <c r="I51" s="7" t="s">
        <v>12</v>
      </c>
      <c r="J51" s="7" t="n">
        <v>5</v>
      </c>
      <c r="K51" s="7" t="n">
        <v>5</v>
      </c>
      <c r="L51" s="19"/>
      <c r="M51" s="19" t="s">
        <v>106</v>
      </c>
      <c r="N51" s="19"/>
      <c r="O51" s="20"/>
    </row>
    <row r="52" customFormat="false" ht="23.85" hidden="false" customHeight="false" outlineLevel="0" collapsed="false">
      <c r="A52" s="11" t="s">
        <v>30</v>
      </c>
      <c r="B52" s="7" t="s">
        <v>31</v>
      </c>
      <c r="C52" s="18" t="s">
        <v>272</v>
      </c>
      <c r="D52" s="7" t="s">
        <v>137</v>
      </c>
      <c r="E52" s="7" t="s">
        <v>138</v>
      </c>
      <c r="F52" s="7" t="s">
        <v>120</v>
      </c>
      <c r="G52" s="8" t="s">
        <v>273</v>
      </c>
      <c r="H52" s="8" t="s">
        <v>274</v>
      </c>
      <c r="I52" s="7" t="s">
        <v>12</v>
      </c>
      <c r="J52" s="7" t="n">
        <v>5</v>
      </c>
      <c r="K52" s="7" t="n">
        <v>4</v>
      </c>
      <c r="L52" s="19"/>
      <c r="M52" s="19" t="s">
        <v>106</v>
      </c>
      <c r="N52" s="19"/>
      <c r="O52" s="20"/>
    </row>
    <row r="53" customFormat="false" ht="23.85" hidden="false" customHeight="false" outlineLevel="0" collapsed="false">
      <c r="A53" s="11" t="s">
        <v>30</v>
      </c>
      <c r="B53" s="7" t="s">
        <v>31</v>
      </c>
      <c r="C53" s="18" t="s">
        <v>275</v>
      </c>
      <c r="D53" s="7" t="s">
        <v>137</v>
      </c>
      <c r="E53" s="7" t="s">
        <v>138</v>
      </c>
      <c r="F53" s="7" t="s">
        <v>120</v>
      </c>
      <c r="G53" s="8" t="s">
        <v>276</v>
      </c>
      <c r="H53" s="8" t="s">
        <v>277</v>
      </c>
      <c r="I53" s="7" t="s">
        <v>12</v>
      </c>
      <c r="J53" s="7" t="n">
        <v>3</v>
      </c>
      <c r="K53" s="7" t="n">
        <v>3</v>
      </c>
      <c r="L53" s="19"/>
      <c r="M53" s="19" t="s">
        <v>106</v>
      </c>
      <c r="N53" s="19"/>
      <c r="O53" s="20"/>
    </row>
    <row r="54" customFormat="false" ht="35.05" hidden="false" customHeight="false" outlineLevel="0" collapsed="false">
      <c r="A54" s="11" t="s">
        <v>30</v>
      </c>
      <c r="B54" s="7" t="s">
        <v>31</v>
      </c>
      <c r="C54" s="18" t="s">
        <v>278</v>
      </c>
      <c r="D54" s="7" t="s">
        <v>137</v>
      </c>
      <c r="E54" s="7" t="s">
        <v>138</v>
      </c>
      <c r="F54" s="7" t="s">
        <v>120</v>
      </c>
      <c r="G54" s="8" t="s">
        <v>279</v>
      </c>
      <c r="H54" s="8" t="s">
        <v>280</v>
      </c>
      <c r="I54" s="7" t="s">
        <v>13</v>
      </c>
      <c r="J54" s="7" t="n">
        <v>5</v>
      </c>
      <c r="K54" s="7" t="n">
        <v>4</v>
      </c>
      <c r="L54" s="19"/>
      <c r="M54" s="19" t="s">
        <v>106</v>
      </c>
      <c r="N54" s="19"/>
      <c r="O54" s="20"/>
    </row>
    <row r="55" customFormat="false" ht="35.05" hidden="false" customHeight="false" outlineLevel="0" collapsed="false">
      <c r="A55" s="11" t="s">
        <v>30</v>
      </c>
      <c r="B55" s="7" t="s">
        <v>31</v>
      </c>
      <c r="C55" s="18" t="s">
        <v>281</v>
      </c>
      <c r="D55" s="7" t="s">
        <v>132</v>
      </c>
      <c r="E55" s="7" t="s">
        <v>133</v>
      </c>
      <c r="F55" s="7" t="s">
        <v>282</v>
      </c>
      <c r="G55" s="8" t="s">
        <v>283</v>
      </c>
      <c r="H55" s="8" t="s">
        <v>284</v>
      </c>
      <c r="I55" s="7" t="s">
        <v>11</v>
      </c>
      <c r="J55" s="7" t="n">
        <v>5</v>
      </c>
      <c r="K55" s="7" t="n">
        <v>4</v>
      </c>
      <c r="L55" s="19"/>
      <c r="M55" s="19" t="s">
        <v>106</v>
      </c>
      <c r="N55" s="19"/>
      <c r="O55" s="20"/>
    </row>
    <row r="56" customFormat="false" ht="23.85" hidden="false" customHeight="false" outlineLevel="0" collapsed="false">
      <c r="A56" s="11" t="s">
        <v>30</v>
      </c>
      <c r="B56" s="7" t="s">
        <v>31</v>
      </c>
      <c r="C56" s="18" t="s">
        <v>285</v>
      </c>
      <c r="D56" s="7" t="s">
        <v>132</v>
      </c>
      <c r="E56" s="7" t="s">
        <v>133</v>
      </c>
      <c r="F56" s="7" t="s">
        <v>282</v>
      </c>
      <c r="G56" s="8" t="s">
        <v>286</v>
      </c>
      <c r="H56" s="8" t="s">
        <v>287</v>
      </c>
      <c r="I56" s="7" t="s">
        <v>12</v>
      </c>
      <c r="J56" s="7" t="n">
        <v>3</v>
      </c>
      <c r="K56" s="7" t="n">
        <v>4</v>
      </c>
      <c r="L56" s="19"/>
      <c r="M56" s="19" t="s">
        <v>106</v>
      </c>
      <c r="N56" s="19"/>
      <c r="O56" s="20"/>
    </row>
    <row r="57" customFormat="false" ht="35.05" hidden="false" customHeight="false" outlineLevel="0" collapsed="false">
      <c r="A57" s="12" t="s">
        <v>35</v>
      </c>
      <c r="B57" s="7" t="s">
        <v>36</v>
      </c>
      <c r="C57" s="18" t="s">
        <v>288</v>
      </c>
      <c r="D57" s="7" t="s">
        <v>217</v>
      </c>
      <c r="E57" s="7" t="s">
        <v>218</v>
      </c>
      <c r="F57" s="7" t="s">
        <v>103</v>
      </c>
      <c r="G57" s="8" t="s">
        <v>289</v>
      </c>
      <c r="H57" s="8" t="s">
        <v>290</v>
      </c>
      <c r="I57" s="7" t="s">
        <v>12</v>
      </c>
      <c r="J57" s="7" t="n">
        <v>13</v>
      </c>
      <c r="K57" s="7" t="n">
        <v>4</v>
      </c>
      <c r="L57" s="19"/>
      <c r="M57" s="19" t="s">
        <v>106</v>
      </c>
      <c r="N57" s="19"/>
      <c r="O57" s="20"/>
    </row>
    <row r="58" customFormat="false" ht="35.05" hidden="false" customHeight="false" outlineLevel="0" collapsed="false">
      <c r="A58" s="12" t="s">
        <v>35</v>
      </c>
      <c r="B58" s="7" t="s">
        <v>36</v>
      </c>
      <c r="C58" s="18" t="s">
        <v>291</v>
      </c>
      <c r="D58" s="7" t="s">
        <v>217</v>
      </c>
      <c r="E58" s="7" t="s">
        <v>218</v>
      </c>
      <c r="F58" s="7" t="s">
        <v>103</v>
      </c>
      <c r="G58" s="8" t="s">
        <v>292</v>
      </c>
      <c r="H58" s="8" t="s">
        <v>293</v>
      </c>
      <c r="I58" s="7" t="s">
        <v>12</v>
      </c>
      <c r="J58" s="7" t="n">
        <v>8</v>
      </c>
      <c r="K58" s="7" t="n">
        <v>4</v>
      </c>
      <c r="L58" s="19"/>
      <c r="M58" s="19" t="s">
        <v>106</v>
      </c>
      <c r="N58" s="19"/>
      <c r="O58" s="20"/>
    </row>
    <row r="59" customFormat="false" ht="23.85" hidden="false" customHeight="false" outlineLevel="0" collapsed="false">
      <c r="A59" s="12" t="s">
        <v>35</v>
      </c>
      <c r="B59" s="7" t="s">
        <v>36</v>
      </c>
      <c r="C59" s="18" t="s">
        <v>294</v>
      </c>
      <c r="D59" s="7" t="s">
        <v>217</v>
      </c>
      <c r="E59" s="7" t="s">
        <v>218</v>
      </c>
      <c r="F59" s="7" t="s">
        <v>185</v>
      </c>
      <c r="G59" s="8" t="s">
        <v>295</v>
      </c>
      <c r="H59" s="8" t="s">
        <v>296</v>
      </c>
      <c r="I59" s="7" t="s">
        <v>12</v>
      </c>
      <c r="J59" s="7" t="n">
        <v>8</v>
      </c>
      <c r="K59" s="7" t="n">
        <v>4</v>
      </c>
      <c r="L59" s="19"/>
      <c r="M59" s="19" t="s">
        <v>106</v>
      </c>
      <c r="N59" s="19"/>
      <c r="O59" s="20"/>
    </row>
    <row r="60" customFormat="false" ht="23.85" hidden="false" customHeight="false" outlineLevel="0" collapsed="false">
      <c r="A60" s="12" t="s">
        <v>35</v>
      </c>
      <c r="B60" s="7" t="s">
        <v>36</v>
      </c>
      <c r="C60" s="18" t="s">
        <v>297</v>
      </c>
      <c r="D60" s="7" t="s">
        <v>217</v>
      </c>
      <c r="E60" s="7" t="s">
        <v>218</v>
      </c>
      <c r="F60" s="7" t="s">
        <v>120</v>
      </c>
      <c r="G60" s="8" t="s">
        <v>298</v>
      </c>
      <c r="H60" s="8" t="s">
        <v>299</v>
      </c>
      <c r="I60" s="7" t="s">
        <v>13</v>
      </c>
      <c r="J60" s="7" t="n">
        <v>5</v>
      </c>
      <c r="K60" s="7" t="n">
        <v>3</v>
      </c>
      <c r="L60" s="19"/>
      <c r="M60" s="19" t="s">
        <v>106</v>
      </c>
      <c r="N60" s="19"/>
      <c r="O60" s="20"/>
    </row>
    <row r="61" customFormat="false" ht="23.85" hidden="false" customHeight="false" outlineLevel="0" collapsed="false">
      <c r="A61" s="13" t="s">
        <v>40</v>
      </c>
      <c r="B61" s="7" t="s">
        <v>41</v>
      </c>
      <c r="C61" s="18" t="s">
        <v>300</v>
      </c>
      <c r="D61" s="7" t="s">
        <v>132</v>
      </c>
      <c r="E61" s="7" t="s">
        <v>133</v>
      </c>
      <c r="F61" s="7" t="s">
        <v>103</v>
      </c>
      <c r="G61" s="8" t="s">
        <v>301</v>
      </c>
      <c r="H61" s="8" t="s">
        <v>302</v>
      </c>
      <c r="I61" s="7" t="s">
        <v>12</v>
      </c>
      <c r="J61" s="7" t="n">
        <v>8</v>
      </c>
      <c r="K61" s="7" t="n">
        <v>4</v>
      </c>
      <c r="L61" s="19"/>
      <c r="M61" s="19" t="s">
        <v>106</v>
      </c>
      <c r="N61" s="19"/>
      <c r="O61" s="20"/>
    </row>
    <row r="62" customFormat="false" ht="23.85" hidden="false" customHeight="false" outlineLevel="0" collapsed="false">
      <c r="A62" s="13" t="s">
        <v>40</v>
      </c>
      <c r="B62" s="7" t="s">
        <v>41</v>
      </c>
      <c r="C62" s="18" t="s">
        <v>303</v>
      </c>
      <c r="D62" s="7" t="s">
        <v>132</v>
      </c>
      <c r="E62" s="7" t="s">
        <v>133</v>
      </c>
      <c r="F62" s="7" t="s">
        <v>120</v>
      </c>
      <c r="G62" s="8" t="s">
        <v>304</v>
      </c>
      <c r="H62" s="8" t="s">
        <v>305</v>
      </c>
      <c r="I62" s="7" t="s">
        <v>13</v>
      </c>
      <c r="J62" s="7" t="n">
        <v>8</v>
      </c>
      <c r="K62" s="7" t="n">
        <v>4</v>
      </c>
      <c r="L62" s="19"/>
      <c r="M62" s="19" t="s">
        <v>106</v>
      </c>
      <c r="N62" s="19"/>
      <c r="O62" s="20"/>
    </row>
    <row r="63" customFormat="false" ht="35.05" hidden="false" customHeight="false" outlineLevel="0" collapsed="false">
      <c r="A63" s="13" t="s">
        <v>40</v>
      </c>
      <c r="B63" s="7" t="s">
        <v>41</v>
      </c>
      <c r="C63" s="18" t="s">
        <v>306</v>
      </c>
      <c r="D63" s="7" t="s">
        <v>132</v>
      </c>
      <c r="E63" s="7" t="s">
        <v>133</v>
      </c>
      <c r="F63" s="7" t="s">
        <v>120</v>
      </c>
      <c r="G63" s="8" t="s">
        <v>307</v>
      </c>
      <c r="H63" s="8" t="s">
        <v>308</v>
      </c>
      <c r="I63" s="7" t="s">
        <v>12</v>
      </c>
      <c r="J63" s="7" t="n">
        <v>8</v>
      </c>
      <c r="K63" s="7" t="n">
        <v>4</v>
      </c>
      <c r="L63" s="19"/>
      <c r="M63" s="19" t="s">
        <v>106</v>
      </c>
      <c r="N63" s="19"/>
      <c r="O63" s="20"/>
    </row>
    <row r="64" customFormat="false" ht="35.05" hidden="false" customHeight="false" outlineLevel="0" collapsed="false">
      <c r="A64" s="13" t="s">
        <v>40</v>
      </c>
      <c r="B64" s="7" t="s">
        <v>41</v>
      </c>
      <c r="C64" s="18" t="s">
        <v>309</v>
      </c>
      <c r="D64" s="7" t="s">
        <v>132</v>
      </c>
      <c r="E64" s="7" t="s">
        <v>133</v>
      </c>
      <c r="F64" s="7" t="s">
        <v>185</v>
      </c>
      <c r="G64" s="8" t="s">
        <v>310</v>
      </c>
      <c r="H64" s="8" t="s">
        <v>311</v>
      </c>
      <c r="I64" s="7" t="s">
        <v>12</v>
      </c>
      <c r="J64" s="7" t="n">
        <v>13</v>
      </c>
      <c r="K64" s="7" t="n">
        <v>5</v>
      </c>
      <c r="L64" s="19"/>
      <c r="M64" s="19" t="s">
        <v>106</v>
      </c>
      <c r="N64" s="19"/>
      <c r="O64" s="20"/>
    </row>
    <row r="65" customFormat="false" ht="23.85" hidden="false" customHeight="false" outlineLevel="0" collapsed="false">
      <c r="A65" s="13" t="s">
        <v>40</v>
      </c>
      <c r="B65" s="7" t="s">
        <v>41</v>
      </c>
      <c r="C65" s="18" t="s">
        <v>312</v>
      </c>
      <c r="D65" s="7" t="s">
        <v>203</v>
      </c>
      <c r="E65" s="7" t="s">
        <v>204</v>
      </c>
      <c r="F65" s="7" t="s">
        <v>103</v>
      </c>
      <c r="G65" s="8" t="s">
        <v>313</v>
      </c>
      <c r="H65" s="8" t="s">
        <v>314</v>
      </c>
      <c r="I65" s="7" t="s">
        <v>12</v>
      </c>
      <c r="J65" s="7" t="n">
        <v>3</v>
      </c>
      <c r="K65" s="7" t="n">
        <v>3</v>
      </c>
      <c r="L65" s="19"/>
      <c r="M65" s="19" t="s">
        <v>106</v>
      </c>
      <c r="N65" s="19"/>
      <c r="O65" s="20"/>
    </row>
    <row r="66" customFormat="false" ht="23.85" hidden="false" customHeight="false" outlineLevel="0" collapsed="false">
      <c r="A66" s="13" t="s">
        <v>40</v>
      </c>
      <c r="B66" s="7" t="s">
        <v>41</v>
      </c>
      <c r="C66" s="18" t="s">
        <v>315</v>
      </c>
      <c r="D66" s="7" t="s">
        <v>203</v>
      </c>
      <c r="E66" s="7" t="s">
        <v>204</v>
      </c>
      <c r="F66" s="7" t="s">
        <v>103</v>
      </c>
      <c r="G66" s="8" t="s">
        <v>316</v>
      </c>
      <c r="H66" s="8" t="s">
        <v>317</v>
      </c>
      <c r="I66" s="7" t="s">
        <v>12</v>
      </c>
      <c r="J66" s="7" t="n">
        <v>5</v>
      </c>
      <c r="K66" s="7" t="n">
        <v>4</v>
      </c>
      <c r="L66" s="19"/>
      <c r="M66" s="19" t="s">
        <v>106</v>
      </c>
      <c r="N66" s="19"/>
      <c r="O66" s="20"/>
    </row>
  </sheetData>
  <autoFilter ref="A1:O66"/>
  <dataValidations count="1">
    <dataValidation allowBlank="true" errorStyle="stop" operator="between" showDropDown="false" showErrorMessage="false" showInputMessage="false" sqref="M2:M66" type="list">
      <formula1>"Not started,In refinement,Ready,In progress,In test,Done,Deferred"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40"/>
    <col collapsed="false" customWidth="true" hidden="false" outlineLevel="0" max="4" min="4" style="0" width="7"/>
    <col collapsed="false" customWidth="true" hidden="false" outlineLevel="0" max="5" min="5" style="0" width="100"/>
    <col collapsed="false" customWidth="true" hidden="false" outlineLevel="0" max="6" min="6" style="0" width="14"/>
    <col collapsed="false" customWidth="true" hidden="false" outlineLevel="0" max="7" min="7" style="0" width="11"/>
  </cols>
  <sheetData>
    <row r="1" customFormat="false" ht="30" hidden="false" customHeight="true" outlineLevel="0" collapsed="false">
      <c r="A1" s="4" t="s">
        <v>3</v>
      </c>
      <c r="B1" s="4" t="s">
        <v>88</v>
      </c>
      <c r="C1" s="4" t="s">
        <v>318</v>
      </c>
      <c r="D1" s="4" t="s">
        <v>319</v>
      </c>
      <c r="E1" s="4" t="s">
        <v>320</v>
      </c>
      <c r="F1" s="4" t="s">
        <v>321</v>
      </c>
      <c r="G1" s="4" t="s">
        <v>322</v>
      </c>
    </row>
    <row r="2" customFormat="false" ht="23.85" hidden="false" customHeight="false" outlineLevel="0" collapsed="false">
      <c r="A2" s="9" t="s">
        <v>20</v>
      </c>
      <c r="B2" s="18" t="s">
        <v>100</v>
      </c>
      <c r="C2" s="8" t="s">
        <v>104</v>
      </c>
      <c r="D2" s="7" t="n">
        <v>1</v>
      </c>
      <c r="E2" s="8" t="s">
        <v>323</v>
      </c>
      <c r="F2" s="19"/>
      <c r="G2" s="19"/>
    </row>
    <row r="3" customFormat="false" ht="23.85" hidden="false" customHeight="false" outlineLevel="0" collapsed="false">
      <c r="A3" s="9" t="s">
        <v>20</v>
      </c>
      <c r="B3" s="18" t="s">
        <v>100</v>
      </c>
      <c r="C3" s="8" t="s">
        <v>104</v>
      </c>
      <c r="D3" s="7" t="n">
        <v>2</v>
      </c>
      <c r="E3" s="8" t="s">
        <v>324</v>
      </c>
      <c r="F3" s="19"/>
      <c r="G3" s="19"/>
    </row>
    <row r="4" customFormat="false" ht="15" hidden="false" customHeight="false" outlineLevel="0" collapsed="false">
      <c r="A4" s="9" t="s">
        <v>20</v>
      </c>
      <c r="B4" s="18" t="s">
        <v>100</v>
      </c>
      <c r="C4" s="8" t="s">
        <v>104</v>
      </c>
      <c r="D4" s="7" t="n">
        <v>3</v>
      </c>
      <c r="E4" s="8" t="s">
        <v>325</v>
      </c>
      <c r="F4" s="19"/>
      <c r="G4" s="19"/>
    </row>
    <row r="5" customFormat="false" ht="15" hidden="false" customHeight="false" outlineLevel="0" collapsed="false">
      <c r="A5" s="9" t="s">
        <v>20</v>
      </c>
      <c r="B5" s="18" t="s">
        <v>100</v>
      </c>
      <c r="C5" s="8" t="s">
        <v>104</v>
      </c>
      <c r="D5" s="7" t="n">
        <v>4</v>
      </c>
      <c r="E5" s="8" t="s">
        <v>326</v>
      </c>
      <c r="F5" s="19"/>
      <c r="G5" s="19"/>
    </row>
    <row r="6" customFormat="false" ht="23.85" hidden="false" customHeight="false" outlineLevel="0" collapsed="false">
      <c r="A6" s="9" t="s">
        <v>20</v>
      </c>
      <c r="B6" s="18" t="s">
        <v>107</v>
      </c>
      <c r="C6" s="8" t="s">
        <v>108</v>
      </c>
      <c r="D6" s="7" t="n">
        <v>1</v>
      </c>
      <c r="E6" s="8" t="s">
        <v>327</v>
      </c>
      <c r="F6" s="19"/>
      <c r="G6" s="19"/>
    </row>
    <row r="7" customFormat="false" ht="15" hidden="false" customHeight="false" outlineLevel="0" collapsed="false">
      <c r="A7" s="9" t="s">
        <v>20</v>
      </c>
      <c r="B7" s="18" t="s">
        <v>107</v>
      </c>
      <c r="C7" s="8" t="s">
        <v>108</v>
      </c>
      <c r="D7" s="7" t="n">
        <v>2</v>
      </c>
      <c r="E7" s="8" t="s">
        <v>328</v>
      </c>
      <c r="F7" s="19"/>
      <c r="G7" s="19"/>
    </row>
    <row r="8" customFormat="false" ht="15" hidden="false" customHeight="false" outlineLevel="0" collapsed="false">
      <c r="A8" s="9" t="s">
        <v>20</v>
      </c>
      <c r="B8" s="18" t="s">
        <v>107</v>
      </c>
      <c r="C8" s="8" t="s">
        <v>108</v>
      </c>
      <c r="D8" s="7" t="n">
        <v>3</v>
      </c>
      <c r="E8" s="8" t="s">
        <v>329</v>
      </c>
      <c r="F8" s="19"/>
      <c r="G8" s="19"/>
    </row>
    <row r="9" customFormat="false" ht="23.85" hidden="false" customHeight="false" outlineLevel="0" collapsed="false">
      <c r="A9" s="9" t="s">
        <v>20</v>
      </c>
      <c r="B9" s="18" t="s">
        <v>107</v>
      </c>
      <c r="C9" s="8" t="s">
        <v>108</v>
      </c>
      <c r="D9" s="7" t="n">
        <v>4</v>
      </c>
      <c r="E9" s="8" t="s">
        <v>330</v>
      </c>
      <c r="F9" s="19"/>
      <c r="G9" s="19"/>
    </row>
    <row r="10" customFormat="false" ht="23.85" hidden="false" customHeight="false" outlineLevel="0" collapsed="false">
      <c r="A10" s="9" t="s">
        <v>20</v>
      </c>
      <c r="B10" s="18" t="s">
        <v>110</v>
      </c>
      <c r="C10" s="8" t="s">
        <v>111</v>
      </c>
      <c r="D10" s="7" t="n">
        <v>1</v>
      </c>
      <c r="E10" s="8" t="s">
        <v>331</v>
      </c>
      <c r="F10" s="19"/>
      <c r="G10" s="19"/>
    </row>
    <row r="11" customFormat="false" ht="23.85" hidden="false" customHeight="false" outlineLevel="0" collapsed="false">
      <c r="A11" s="9" t="s">
        <v>20</v>
      </c>
      <c r="B11" s="18" t="s">
        <v>110</v>
      </c>
      <c r="C11" s="8" t="s">
        <v>111</v>
      </c>
      <c r="D11" s="7" t="n">
        <v>2</v>
      </c>
      <c r="E11" s="8" t="s">
        <v>332</v>
      </c>
      <c r="F11" s="19"/>
      <c r="G11" s="19"/>
    </row>
    <row r="12" customFormat="false" ht="15" hidden="false" customHeight="false" outlineLevel="0" collapsed="false">
      <c r="A12" s="9" t="s">
        <v>20</v>
      </c>
      <c r="B12" s="18" t="s">
        <v>110</v>
      </c>
      <c r="C12" s="8" t="s">
        <v>111</v>
      </c>
      <c r="D12" s="7" t="n">
        <v>3</v>
      </c>
      <c r="E12" s="8" t="s">
        <v>333</v>
      </c>
      <c r="F12" s="19"/>
      <c r="G12" s="19"/>
    </row>
    <row r="13" customFormat="false" ht="23.85" hidden="false" customHeight="false" outlineLevel="0" collapsed="false">
      <c r="A13" s="9" t="s">
        <v>20</v>
      </c>
      <c r="B13" s="18" t="s">
        <v>113</v>
      </c>
      <c r="C13" s="8" t="s">
        <v>114</v>
      </c>
      <c r="D13" s="7" t="n">
        <v>1</v>
      </c>
      <c r="E13" s="8" t="s">
        <v>334</v>
      </c>
      <c r="F13" s="19"/>
      <c r="G13" s="19"/>
    </row>
    <row r="14" customFormat="false" ht="23.85" hidden="false" customHeight="false" outlineLevel="0" collapsed="false">
      <c r="A14" s="9" t="s">
        <v>20</v>
      </c>
      <c r="B14" s="18" t="s">
        <v>113</v>
      </c>
      <c r="C14" s="8" t="s">
        <v>114</v>
      </c>
      <c r="D14" s="7" t="n">
        <v>2</v>
      </c>
      <c r="E14" s="8" t="s">
        <v>335</v>
      </c>
      <c r="F14" s="19"/>
      <c r="G14" s="19"/>
    </row>
    <row r="15" customFormat="false" ht="15" hidden="false" customHeight="false" outlineLevel="0" collapsed="false">
      <c r="A15" s="9" t="s">
        <v>20</v>
      </c>
      <c r="B15" s="18" t="s">
        <v>113</v>
      </c>
      <c r="C15" s="8" t="s">
        <v>114</v>
      </c>
      <c r="D15" s="7" t="n">
        <v>3</v>
      </c>
      <c r="E15" s="8" t="s">
        <v>336</v>
      </c>
      <c r="F15" s="19"/>
      <c r="G15" s="19"/>
    </row>
    <row r="16" customFormat="false" ht="23.85" hidden="false" customHeight="false" outlineLevel="0" collapsed="false">
      <c r="A16" s="9" t="s">
        <v>20</v>
      </c>
      <c r="B16" s="18" t="s">
        <v>113</v>
      </c>
      <c r="C16" s="8" t="s">
        <v>114</v>
      </c>
      <c r="D16" s="7" t="n">
        <v>4</v>
      </c>
      <c r="E16" s="8" t="s">
        <v>337</v>
      </c>
      <c r="F16" s="19"/>
      <c r="G16" s="19"/>
    </row>
    <row r="17" customFormat="false" ht="23.85" hidden="false" customHeight="false" outlineLevel="0" collapsed="false">
      <c r="A17" s="9" t="s">
        <v>20</v>
      </c>
      <c r="B17" s="18" t="s">
        <v>116</v>
      </c>
      <c r="C17" s="8" t="s">
        <v>117</v>
      </c>
      <c r="D17" s="7" t="n">
        <v>1</v>
      </c>
      <c r="E17" s="8" t="s">
        <v>338</v>
      </c>
      <c r="F17" s="19"/>
      <c r="G17" s="19"/>
    </row>
    <row r="18" customFormat="false" ht="23.85" hidden="false" customHeight="false" outlineLevel="0" collapsed="false">
      <c r="A18" s="9" t="s">
        <v>20</v>
      </c>
      <c r="B18" s="18" t="s">
        <v>116</v>
      </c>
      <c r="C18" s="8" t="s">
        <v>117</v>
      </c>
      <c r="D18" s="7" t="n">
        <v>2</v>
      </c>
      <c r="E18" s="8" t="s">
        <v>339</v>
      </c>
      <c r="F18" s="19"/>
      <c r="G18" s="19"/>
    </row>
    <row r="19" customFormat="false" ht="23.85" hidden="false" customHeight="false" outlineLevel="0" collapsed="false">
      <c r="A19" s="9" t="s">
        <v>20</v>
      </c>
      <c r="B19" s="18" t="s">
        <v>116</v>
      </c>
      <c r="C19" s="8" t="s">
        <v>117</v>
      </c>
      <c r="D19" s="7" t="n">
        <v>3</v>
      </c>
      <c r="E19" s="8" t="s">
        <v>340</v>
      </c>
      <c r="F19" s="19"/>
      <c r="G19" s="19"/>
    </row>
    <row r="20" customFormat="false" ht="23.85" hidden="false" customHeight="false" outlineLevel="0" collapsed="false">
      <c r="A20" s="9" t="s">
        <v>20</v>
      </c>
      <c r="B20" s="18" t="s">
        <v>116</v>
      </c>
      <c r="C20" s="8" t="s">
        <v>117</v>
      </c>
      <c r="D20" s="7" t="n">
        <v>4</v>
      </c>
      <c r="E20" s="8" t="s">
        <v>341</v>
      </c>
      <c r="F20" s="19"/>
      <c r="G20" s="19"/>
    </row>
    <row r="21" customFormat="false" ht="23.85" hidden="false" customHeight="false" outlineLevel="0" collapsed="false">
      <c r="A21" s="9" t="s">
        <v>20</v>
      </c>
      <c r="B21" s="18" t="s">
        <v>116</v>
      </c>
      <c r="C21" s="8" t="s">
        <v>117</v>
      </c>
      <c r="D21" s="7" t="n">
        <v>5</v>
      </c>
      <c r="E21" s="8" t="s">
        <v>342</v>
      </c>
      <c r="F21" s="19"/>
      <c r="G21" s="19"/>
    </row>
    <row r="22" customFormat="false" ht="23.85" hidden="false" customHeight="false" outlineLevel="0" collapsed="false">
      <c r="A22" s="9" t="s">
        <v>20</v>
      </c>
      <c r="B22" s="18" t="s">
        <v>116</v>
      </c>
      <c r="C22" s="8" t="s">
        <v>117</v>
      </c>
      <c r="D22" s="7" t="n">
        <v>6</v>
      </c>
      <c r="E22" s="8" t="s">
        <v>343</v>
      </c>
      <c r="F22" s="19"/>
      <c r="G22" s="19"/>
    </row>
    <row r="23" customFormat="false" ht="23.85" hidden="false" customHeight="false" outlineLevel="0" collapsed="false">
      <c r="A23" s="9" t="s">
        <v>20</v>
      </c>
      <c r="B23" s="18" t="s">
        <v>119</v>
      </c>
      <c r="C23" s="8" t="s">
        <v>121</v>
      </c>
      <c r="D23" s="7" t="n">
        <v>1</v>
      </c>
      <c r="E23" s="8" t="s">
        <v>344</v>
      </c>
      <c r="F23" s="19"/>
      <c r="G23" s="19"/>
    </row>
    <row r="24" customFormat="false" ht="23.85" hidden="false" customHeight="false" outlineLevel="0" collapsed="false">
      <c r="A24" s="9" t="s">
        <v>20</v>
      </c>
      <c r="B24" s="18" t="s">
        <v>119</v>
      </c>
      <c r="C24" s="8" t="s">
        <v>121</v>
      </c>
      <c r="D24" s="7" t="n">
        <v>2</v>
      </c>
      <c r="E24" s="8" t="s">
        <v>345</v>
      </c>
      <c r="F24" s="19"/>
      <c r="G24" s="19"/>
    </row>
    <row r="25" customFormat="false" ht="23.85" hidden="false" customHeight="false" outlineLevel="0" collapsed="false">
      <c r="A25" s="9" t="s">
        <v>20</v>
      </c>
      <c r="B25" s="18" t="s">
        <v>119</v>
      </c>
      <c r="C25" s="8" t="s">
        <v>121</v>
      </c>
      <c r="D25" s="7" t="n">
        <v>3</v>
      </c>
      <c r="E25" s="8" t="s">
        <v>346</v>
      </c>
      <c r="F25" s="19"/>
      <c r="G25" s="19"/>
    </row>
    <row r="26" customFormat="false" ht="23.85" hidden="false" customHeight="false" outlineLevel="0" collapsed="false">
      <c r="A26" s="9" t="s">
        <v>20</v>
      </c>
      <c r="B26" s="18" t="s">
        <v>119</v>
      </c>
      <c r="C26" s="8" t="s">
        <v>121</v>
      </c>
      <c r="D26" s="7" t="n">
        <v>4</v>
      </c>
      <c r="E26" s="8" t="s">
        <v>347</v>
      </c>
      <c r="F26" s="19"/>
      <c r="G26" s="19"/>
    </row>
    <row r="27" customFormat="false" ht="23.85" hidden="false" customHeight="false" outlineLevel="0" collapsed="false">
      <c r="A27" s="9" t="s">
        <v>20</v>
      </c>
      <c r="B27" s="18" t="s">
        <v>119</v>
      </c>
      <c r="C27" s="8" t="s">
        <v>121</v>
      </c>
      <c r="D27" s="7" t="n">
        <v>5</v>
      </c>
      <c r="E27" s="8" t="s">
        <v>348</v>
      </c>
      <c r="F27" s="19"/>
      <c r="G27" s="19"/>
    </row>
    <row r="28" customFormat="false" ht="23.85" hidden="false" customHeight="false" outlineLevel="0" collapsed="false">
      <c r="A28" s="9" t="s">
        <v>20</v>
      </c>
      <c r="B28" s="18" t="s">
        <v>123</v>
      </c>
      <c r="C28" s="8" t="s">
        <v>126</v>
      </c>
      <c r="D28" s="7" t="n">
        <v>1</v>
      </c>
      <c r="E28" s="8" t="s">
        <v>349</v>
      </c>
      <c r="F28" s="19"/>
      <c r="G28" s="19"/>
    </row>
    <row r="29" customFormat="false" ht="23.85" hidden="false" customHeight="false" outlineLevel="0" collapsed="false">
      <c r="A29" s="9" t="s">
        <v>20</v>
      </c>
      <c r="B29" s="18" t="s">
        <v>123</v>
      </c>
      <c r="C29" s="8" t="s">
        <v>126</v>
      </c>
      <c r="D29" s="7" t="n">
        <v>2</v>
      </c>
      <c r="E29" s="8" t="s">
        <v>350</v>
      </c>
      <c r="F29" s="19"/>
      <c r="G29" s="19"/>
    </row>
    <row r="30" customFormat="false" ht="23.85" hidden="false" customHeight="false" outlineLevel="0" collapsed="false">
      <c r="A30" s="9" t="s">
        <v>20</v>
      </c>
      <c r="B30" s="18" t="s">
        <v>123</v>
      </c>
      <c r="C30" s="8" t="s">
        <v>126</v>
      </c>
      <c r="D30" s="7" t="n">
        <v>3</v>
      </c>
      <c r="E30" s="8" t="s">
        <v>351</v>
      </c>
      <c r="F30" s="19"/>
      <c r="G30" s="19"/>
    </row>
    <row r="31" customFormat="false" ht="23.85" hidden="false" customHeight="false" outlineLevel="0" collapsed="false">
      <c r="A31" s="9" t="s">
        <v>20</v>
      </c>
      <c r="B31" s="18" t="s">
        <v>123</v>
      </c>
      <c r="C31" s="8" t="s">
        <v>126</v>
      </c>
      <c r="D31" s="7" t="n">
        <v>4</v>
      </c>
      <c r="E31" s="8" t="s">
        <v>352</v>
      </c>
      <c r="F31" s="19"/>
      <c r="G31" s="19"/>
    </row>
    <row r="32" customFormat="false" ht="23.85" hidden="false" customHeight="false" outlineLevel="0" collapsed="false">
      <c r="A32" s="9" t="s">
        <v>20</v>
      </c>
      <c r="B32" s="18" t="s">
        <v>123</v>
      </c>
      <c r="C32" s="8" t="s">
        <v>126</v>
      </c>
      <c r="D32" s="7" t="n">
        <v>5</v>
      </c>
      <c r="E32" s="8" t="s">
        <v>353</v>
      </c>
      <c r="F32" s="19"/>
      <c r="G32" s="19"/>
    </row>
    <row r="33" customFormat="false" ht="23.85" hidden="false" customHeight="false" outlineLevel="0" collapsed="false">
      <c r="A33" s="9" t="s">
        <v>20</v>
      </c>
      <c r="B33" s="18" t="s">
        <v>128</v>
      </c>
      <c r="C33" s="8" t="s">
        <v>129</v>
      </c>
      <c r="D33" s="7" t="n">
        <v>1</v>
      </c>
      <c r="E33" s="8" t="s">
        <v>354</v>
      </c>
      <c r="F33" s="19"/>
      <c r="G33" s="19"/>
    </row>
    <row r="34" customFormat="false" ht="23.85" hidden="false" customHeight="false" outlineLevel="0" collapsed="false">
      <c r="A34" s="9" t="s">
        <v>20</v>
      </c>
      <c r="B34" s="18" t="s">
        <v>128</v>
      </c>
      <c r="C34" s="8" t="s">
        <v>129</v>
      </c>
      <c r="D34" s="7" t="n">
        <v>2</v>
      </c>
      <c r="E34" s="8" t="s">
        <v>355</v>
      </c>
      <c r="F34" s="19"/>
      <c r="G34" s="19"/>
    </row>
    <row r="35" customFormat="false" ht="23.85" hidden="false" customHeight="false" outlineLevel="0" collapsed="false">
      <c r="A35" s="9" t="s">
        <v>20</v>
      </c>
      <c r="B35" s="18" t="s">
        <v>128</v>
      </c>
      <c r="C35" s="8" t="s">
        <v>129</v>
      </c>
      <c r="D35" s="7" t="n">
        <v>3</v>
      </c>
      <c r="E35" s="8" t="s">
        <v>356</v>
      </c>
      <c r="F35" s="19"/>
      <c r="G35" s="19"/>
    </row>
    <row r="36" customFormat="false" ht="23.85" hidden="false" customHeight="false" outlineLevel="0" collapsed="false">
      <c r="A36" s="9" t="s">
        <v>20</v>
      </c>
      <c r="B36" s="18" t="s">
        <v>128</v>
      </c>
      <c r="C36" s="8" t="s">
        <v>129</v>
      </c>
      <c r="D36" s="7" t="n">
        <v>4</v>
      </c>
      <c r="E36" s="8" t="s">
        <v>357</v>
      </c>
      <c r="F36" s="19"/>
      <c r="G36" s="19"/>
    </row>
    <row r="37" customFormat="false" ht="23.85" hidden="false" customHeight="false" outlineLevel="0" collapsed="false">
      <c r="A37" s="9" t="s">
        <v>20</v>
      </c>
      <c r="B37" s="18" t="s">
        <v>128</v>
      </c>
      <c r="C37" s="8" t="s">
        <v>129</v>
      </c>
      <c r="D37" s="7" t="n">
        <v>5</v>
      </c>
      <c r="E37" s="8" t="s">
        <v>358</v>
      </c>
      <c r="F37" s="19"/>
      <c r="G37" s="19"/>
    </row>
    <row r="38" customFormat="false" ht="23.85" hidden="false" customHeight="false" outlineLevel="0" collapsed="false">
      <c r="A38" s="9" t="s">
        <v>20</v>
      </c>
      <c r="B38" s="18" t="s">
        <v>131</v>
      </c>
      <c r="C38" s="8" t="s">
        <v>134</v>
      </c>
      <c r="D38" s="7" t="n">
        <v>1</v>
      </c>
      <c r="E38" s="8" t="s">
        <v>359</v>
      </c>
      <c r="F38" s="19"/>
      <c r="G38" s="19"/>
    </row>
    <row r="39" customFormat="false" ht="15" hidden="false" customHeight="false" outlineLevel="0" collapsed="false">
      <c r="A39" s="9" t="s">
        <v>20</v>
      </c>
      <c r="B39" s="18" t="s">
        <v>131</v>
      </c>
      <c r="C39" s="8" t="s">
        <v>134</v>
      </c>
      <c r="D39" s="7" t="n">
        <v>2</v>
      </c>
      <c r="E39" s="8" t="s">
        <v>360</v>
      </c>
      <c r="F39" s="19"/>
      <c r="G39" s="19"/>
    </row>
    <row r="40" customFormat="false" ht="15" hidden="false" customHeight="false" outlineLevel="0" collapsed="false">
      <c r="A40" s="9" t="s">
        <v>20</v>
      </c>
      <c r="B40" s="18" t="s">
        <v>131</v>
      </c>
      <c r="C40" s="8" t="s">
        <v>134</v>
      </c>
      <c r="D40" s="7" t="n">
        <v>3</v>
      </c>
      <c r="E40" s="8" t="s">
        <v>361</v>
      </c>
      <c r="F40" s="19"/>
      <c r="G40" s="19"/>
    </row>
    <row r="41" customFormat="false" ht="23.85" hidden="false" customHeight="false" outlineLevel="0" collapsed="false">
      <c r="A41" s="9" t="s">
        <v>20</v>
      </c>
      <c r="B41" s="18" t="s">
        <v>131</v>
      </c>
      <c r="C41" s="8" t="s">
        <v>134</v>
      </c>
      <c r="D41" s="7" t="n">
        <v>4</v>
      </c>
      <c r="E41" s="8" t="s">
        <v>362</v>
      </c>
      <c r="F41" s="19"/>
      <c r="G41" s="19"/>
    </row>
    <row r="42" customFormat="false" ht="23.85" hidden="false" customHeight="false" outlineLevel="0" collapsed="false">
      <c r="A42" s="9" t="s">
        <v>20</v>
      </c>
      <c r="B42" s="18" t="s">
        <v>131</v>
      </c>
      <c r="C42" s="8" t="s">
        <v>134</v>
      </c>
      <c r="D42" s="7" t="n">
        <v>5</v>
      </c>
      <c r="E42" s="8" t="s">
        <v>363</v>
      </c>
      <c r="F42" s="19"/>
      <c r="G42" s="19"/>
    </row>
    <row r="43" customFormat="false" ht="15" hidden="false" customHeight="false" outlineLevel="0" collapsed="false">
      <c r="A43" s="9" t="s">
        <v>20</v>
      </c>
      <c r="B43" s="18" t="s">
        <v>136</v>
      </c>
      <c r="C43" s="8" t="s">
        <v>139</v>
      </c>
      <c r="D43" s="7" t="n">
        <v>1</v>
      </c>
      <c r="E43" s="8" t="s">
        <v>364</v>
      </c>
      <c r="F43" s="19"/>
      <c r="G43" s="19"/>
    </row>
    <row r="44" customFormat="false" ht="23.85" hidden="false" customHeight="false" outlineLevel="0" collapsed="false">
      <c r="A44" s="9" t="s">
        <v>20</v>
      </c>
      <c r="B44" s="18" t="s">
        <v>136</v>
      </c>
      <c r="C44" s="8" t="s">
        <v>139</v>
      </c>
      <c r="D44" s="7" t="n">
        <v>2</v>
      </c>
      <c r="E44" s="8" t="s">
        <v>365</v>
      </c>
      <c r="F44" s="19"/>
      <c r="G44" s="19"/>
    </row>
    <row r="45" customFormat="false" ht="23.85" hidden="false" customHeight="false" outlineLevel="0" collapsed="false">
      <c r="A45" s="9" t="s">
        <v>20</v>
      </c>
      <c r="B45" s="18" t="s">
        <v>136</v>
      </c>
      <c r="C45" s="8" t="s">
        <v>139</v>
      </c>
      <c r="D45" s="7" t="n">
        <v>3</v>
      </c>
      <c r="E45" s="8" t="s">
        <v>366</v>
      </c>
      <c r="F45" s="19"/>
      <c r="G45" s="19"/>
    </row>
    <row r="46" customFormat="false" ht="15" hidden="false" customHeight="false" outlineLevel="0" collapsed="false">
      <c r="A46" s="9" t="s">
        <v>20</v>
      </c>
      <c r="B46" s="18" t="s">
        <v>136</v>
      </c>
      <c r="C46" s="8" t="s">
        <v>139</v>
      </c>
      <c r="D46" s="7" t="n">
        <v>4</v>
      </c>
      <c r="E46" s="8" t="s">
        <v>367</v>
      </c>
      <c r="F46" s="19"/>
      <c r="G46" s="19"/>
    </row>
    <row r="47" customFormat="false" ht="23.85" hidden="false" customHeight="false" outlineLevel="0" collapsed="false">
      <c r="A47" s="9" t="s">
        <v>20</v>
      </c>
      <c r="B47" s="18" t="s">
        <v>136</v>
      </c>
      <c r="C47" s="8" t="s">
        <v>139</v>
      </c>
      <c r="D47" s="7" t="n">
        <v>5</v>
      </c>
      <c r="E47" s="8" t="s">
        <v>368</v>
      </c>
      <c r="F47" s="19"/>
      <c r="G47" s="19"/>
    </row>
    <row r="48" customFormat="false" ht="35.05" hidden="false" customHeight="false" outlineLevel="0" collapsed="false">
      <c r="A48" s="9" t="s">
        <v>20</v>
      </c>
      <c r="B48" s="18" t="s">
        <v>141</v>
      </c>
      <c r="C48" s="8" t="s">
        <v>142</v>
      </c>
      <c r="D48" s="7" t="n">
        <v>1</v>
      </c>
      <c r="E48" s="8" t="s">
        <v>369</v>
      </c>
      <c r="F48" s="19"/>
      <c r="G48" s="19"/>
    </row>
    <row r="49" customFormat="false" ht="23.85" hidden="false" customHeight="false" outlineLevel="0" collapsed="false">
      <c r="A49" s="9" t="s">
        <v>20</v>
      </c>
      <c r="B49" s="18" t="s">
        <v>141</v>
      </c>
      <c r="C49" s="8" t="s">
        <v>142</v>
      </c>
      <c r="D49" s="7" t="n">
        <v>2</v>
      </c>
      <c r="E49" s="8" t="s">
        <v>370</v>
      </c>
      <c r="F49" s="19"/>
      <c r="G49" s="19"/>
    </row>
    <row r="50" customFormat="false" ht="23.85" hidden="false" customHeight="false" outlineLevel="0" collapsed="false">
      <c r="A50" s="9" t="s">
        <v>20</v>
      </c>
      <c r="B50" s="18" t="s">
        <v>141</v>
      </c>
      <c r="C50" s="8" t="s">
        <v>142</v>
      </c>
      <c r="D50" s="7" t="n">
        <v>3</v>
      </c>
      <c r="E50" s="8" t="s">
        <v>371</v>
      </c>
      <c r="F50" s="19"/>
      <c r="G50" s="19"/>
    </row>
    <row r="51" customFormat="false" ht="23.85" hidden="false" customHeight="false" outlineLevel="0" collapsed="false">
      <c r="A51" s="9" t="s">
        <v>20</v>
      </c>
      <c r="B51" s="18" t="s">
        <v>141</v>
      </c>
      <c r="C51" s="8" t="s">
        <v>142</v>
      </c>
      <c r="D51" s="7" t="n">
        <v>4</v>
      </c>
      <c r="E51" s="8" t="s">
        <v>372</v>
      </c>
      <c r="F51" s="19"/>
      <c r="G51" s="19"/>
    </row>
    <row r="52" customFormat="false" ht="23.85" hidden="false" customHeight="false" outlineLevel="0" collapsed="false">
      <c r="A52" s="9" t="s">
        <v>20</v>
      </c>
      <c r="B52" s="18" t="s">
        <v>141</v>
      </c>
      <c r="C52" s="8" t="s">
        <v>142</v>
      </c>
      <c r="D52" s="7" t="n">
        <v>5</v>
      </c>
      <c r="E52" s="8" t="s">
        <v>373</v>
      </c>
      <c r="F52" s="19"/>
      <c r="G52" s="19"/>
    </row>
    <row r="53" customFormat="false" ht="23.85" hidden="false" customHeight="false" outlineLevel="0" collapsed="false">
      <c r="A53" s="9" t="s">
        <v>20</v>
      </c>
      <c r="B53" s="18" t="s">
        <v>144</v>
      </c>
      <c r="C53" s="8" t="s">
        <v>145</v>
      </c>
      <c r="D53" s="7" t="n">
        <v>1</v>
      </c>
      <c r="E53" s="8" t="s">
        <v>374</v>
      </c>
      <c r="F53" s="19"/>
      <c r="G53" s="19"/>
    </row>
    <row r="54" customFormat="false" ht="23.85" hidden="false" customHeight="false" outlineLevel="0" collapsed="false">
      <c r="A54" s="9" t="s">
        <v>20</v>
      </c>
      <c r="B54" s="18" t="s">
        <v>144</v>
      </c>
      <c r="C54" s="8" t="s">
        <v>145</v>
      </c>
      <c r="D54" s="7" t="n">
        <v>2</v>
      </c>
      <c r="E54" s="8" t="s">
        <v>375</v>
      </c>
      <c r="F54" s="19"/>
      <c r="G54" s="19"/>
    </row>
    <row r="55" customFormat="false" ht="15" hidden="false" customHeight="false" outlineLevel="0" collapsed="false">
      <c r="A55" s="9" t="s">
        <v>20</v>
      </c>
      <c r="B55" s="18" t="s">
        <v>144</v>
      </c>
      <c r="C55" s="8" t="s">
        <v>145</v>
      </c>
      <c r="D55" s="7" t="n">
        <v>3</v>
      </c>
      <c r="E55" s="8" t="s">
        <v>376</v>
      </c>
      <c r="F55" s="19"/>
      <c r="G55" s="19"/>
    </row>
    <row r="56" customFormat="false" ht="23.85" hidden="false" customHeight="false" outlineLevel="0" collapsed="false">
      <c r="A56" s="9" t="s">
        <v>20</v>
      </c>
      <c r="B56" s="18" t="s">
        <v>144</v>
      </c>
      <c r="C56" s="8" t="s">
        <v>145</v>
      </c>
      <c r="D56" s="7" t="n">
        <v>4</v>
      </c>
      <c r="E56" s="8" t="s">
        <v>377</v>
      </c>
      <c r="F56" s="19"/>
      <c r="G56" s="19"/>
    </row>
    <row r="57" customFormat="false" ht="23.85" hidden="false" customHeight="false" outlineLevel="0" collapsed="false">
      <c r="A57" s="9" t="s">
        <v>20</v>
      </c>
      <c r="B57" s="18" t="s">
        <v>147</v>
      </c>
      <c r="C57" s="8" t="s">
        <v>148</v>
      </c>
      <c r="D57" s="7" t="n">
        <v>1</v>
      </c>
      <c r="E57" s="8" t="s">
        <v>378</v>
      </c>
      <c r="F57" s="19"/>
      <c r="G57" s="19"/>
    </row>
    <row r="58" customFormat="false" ht="15" hidden="false" customHeight="false" outlineLevel="0" collapsed="false">
      <c r="A58" s="9" t="s">
        <v>20</v>
      </c>
      <c r="B58" s="18" t="s">
        <v>147</v>
      </c>
      <c r="C58" s="8" t="s">
        <v>148</v>
      </c>
      <c r="D58" s="7" t="n">
        <v>2</v>
      </c>
      <c r="E58" s="8" t="s">
        <v>379</v>
      </c>
      <c r="F58" s="19"/>
      <c r="G58" s="19"/>
    </row>
    <row r="59" customFormat="false" ht="23.85" hidden="false" customHeight="false" outlineLevel="0" collapsed="false">
      <c r="A59" s="9" t="s">
        <v>20</v>
      </c>
      <c r="B59" s="18" t="s">
        <v>147</v>
      </c>
      <c r="C59" s="8" t="s">
        <v>148</v>
      </c>
      <c r="D59" s="7" t="n">
        <v>3</v>
      </c>
      <c r="E59" s="8" t="s">
        <v>380</v>
      </c>
      <c r="F59" s="19"/>
      <c r="G59" s="19"/>
    </row>
    <row r="60" customFormat="false" ht="15" hidden="false" customHeight="false" outlineLevel="0" collapsed="false">
      <c r="A60" s="9" t="s">
        <v>20</v>
      </c>
      <c r="B60" s="18" t="s">
        <v>147</v>
      </c>
      <c r="C60" s="8" t="s">
        <v>148</v>
      </c>
      <c r="D60" s="7" t="n">
        <v>4</v>
      </c>
      <c r="E60" s="8" t="s">
        <v>381</v>
      </c>
      <c r="F60" s="19"/>
      <c r="G60" s="19"/>
    </row>
    <row r="61" customFormat="false" ht="23.85" hidden="false" customHeight="false" outlineLevel="0" collapsed="false">
      <c r="A61" s="9" t="s">
        <v>20</v>
      </c>
      <c r="B61" s="18" t="s">
        <v>150</v>
      </c>
      <c r="C61" s="8" t="s">
        <v>153</v>
      </c>
      <c r="D61" s="7" t="n">
        <v>1</v>
      </c>
      <c r="E61" s="8" t="s">
        <v>382</v>
      </c>
      <c r="F61" s="19"/>
      <c r="G61" s="19"/>
    </row>
    <row r="62" customFormat="false" ht="23.85" hidden="false" customHeight="false" outlineLevel="0" collapsed="false">
      <c r="A62" s="9" t="s">
        <v>20</v>
      </c>
      <c r="B62" s="18" t="s">
        <v>150</v>
      </c>
      <c r="C62" s="8" t="s">
        <v>153</v>
      </c>
      <c r="D62" s="7" t="n">
        <v>2</v>
      </c>
      <c r="E62" s="8" t="s">
        <v>383</v>
      </c>
      <c r="F62" s="19"/>
      <c r="G62" s="19"/>
    </row>
    <row r="63" customFormat="false" ht="23.85" hidden="false" customHeight="false" outlineLevel="0" collapsed="false">
      <c r="A63" s="9" t="s">
        <v>20</v>
      </c>
      <c r="B63" s="18" t="s">
        <v>150</v>
      </c>
      <c r="C63" s="8" t="s">
        <v>153</v>
      </c>
      <c r="D63" s="7" t="n">
        <v>3</v>
      </c>
      <c r="E63" s="8" t="s">
        <v>384</v>
      </c>
      <c r="F63" s="19"/>
      <c r="G63" s="19"/>
    </row>
    <row r="64" customFormat="false" ht="23.85" hidden="false" customHeight="false" outlineLevel="0" collapsed="false">
      <c r="A64" s="9" t="s">
        <v>20</v>
      </c>
      <c r="B64" s="18" t="s">
        <v>150</v>
      </c>
      <c r="C64" s="8" t="s">
        <v>153</v>
      </c>
      <c r="D64" s="7" t="n">
        <v>4</v>
      </c>
      <c r="E64" s="8" t="s">
        <v>385</v>
      </c>
      <c r="F64" s="19"/>
      <c r="G64" s="19"/>
    </row>
    <row r="65" customFormat="false" ht="23.85" hidden="false" customHeight="false" outlineLevel="0" collapsed="false">
      <c r="A65" s="9" t="s">
        <v>20</v>
      </c>
      <c r="B65" s="18" t="s">
        <v>155</v>
      </c>
      <c r="C65" s="8" t="s">
        <v>156</v>
      </c>
      <c r="D65" s="7" t="n">
        <v>1</v>
      </c>
      <c r="E65" s="8" t="s">
        <v>386</v>
      </c>
      <c r="F65" s="19"/>
      <c r="G65" s="19"/>
    </row>
    <row r="66" customFormat="false" ht="23.85" hidden="false" customHeight="false" outlineLevel="0" collapsed="false">
      <c r="A66" s="9" t="s">
        <v>20</v>
      </c>
      <c r="B66" s="18" t="s">
        <v>155</v>
      </c>
      <c r="C66" s="8" t="s">
        <v>156</v>
      </c>
      <c r="D66" s="7" t="n">
        <v>2</v>
      </c>
      <c r="E66" s="8" t="s">
        <v>387</v>
      </c>
      <c r="F66" s="19"/>
      <c r="G66" s="19"/>
    </row>
    <row r="67" customFormat="false" ht="23.85" hidden="false" customHeight="false" outlineLevel="0" collapsed="false">
      <c r="A67" s="9" t="s">
        <v>20</v>
      </c>
      <c r="B67" s="18" t="s">
        <v>155</v>
      </c>
      <c r="C67" s="8" t="s">
        <v>156</v>
      </c>
      <c r="D67" s="7" t="n">
        <v>3</v>
      </c>
      <c r="E67" s="8" t="s">
        <v>388</v>
      </c>
      <c r="F67" s="19"/>
      <c r="G67" s="19"/>
    </row>
    <row r="68" customFormat="false" ht="23.85" hidden="false" customHeight="false" outlineLevel="0" collapsed="false">
      <c r="A68" s="9" t="s">
        <v>20</v>
      </c>
      <c r="B68" s="18" t="s">
        <v>155</v>
      </c>
      <c r="C68" s="8" t="s">
        <v>156</v>
      </c>
      <c r="D68" s="7" t="n">
        <v>4</v>
      </c>
      <c r="E68" s="8" t="s">
        <v>389</v>
      </c>
      <c r="F68" s="19"/>
      <c r="G68" s="19"/>
    </row>
    <row r="69" customFormat="false" ht="23.85" hidden="false" customHeight="false" outlineLevel="0" collapsed="false">
      <c r="A69" s="9" t="s">
        <v>20</v>
      </c>
      <c r="B69" s="18" t="s">
        <v>158</v>
      </c>
      <c r="C69" s="8" t="s">
        <v>159</v>
      </c>
      <c r="D69" s="7" t="n">
        <v>1</v>
      </c>
      <c r="E69" s="8" t="s">
        <v>390</v>
      </c>
      <c r="F69" s="19"/>
      <c r="G69" s="19"/>
    </row>
    <row r="70" customFormat="false" ht="23.85" hidden="false" customHeight="false" outlineLevel="0" collapsed="false">
      <c r="A70" s="9" t="s">
        <v>20</v>
      </c>
      <c r="B70" s="18" t="s">
        <v>158</v>
      </c>
      <c r="C70" s="8" t="s">
        <v>159</v>
      </c>
      <c r="D70" s="7" t="n">
        <v>2</v>
      </c>
      <c r="E70" s="8" t="s">
        <v>391</v>
      </c>
      <c r="F70" s="19"/>
      <c r="G70" s="19"/>
    </row>
    <row r="71" customFormat="false" ht="23.85" hidden="false" customHeight="false" outlineLevel="0" collapsed="false">
      <c r="A71" s="9" t="s">
        <v>20</v>
      </c>
      <c r="B71" s="18" t="s">
        <v>158</v>
      </c>
      <c r="C71" s="8" t="s">
        <v>159</v>
      </c>
      <c r="D71" s="7" t="n">
        <v>3</v>
      </c>
      <c r="E71" s="8" t="s">
        <v>392</v>
      </c>
      <c r="F71" s="19"/>
      <c r="G71" s="19"/>
    </row>
    <row r="72" customFormat="false" ht="23.85" hidden="false" customHeight="false" outlineLevel="0" collapsed="false">
      <c r="A72" s="9" t="s">
        <v>20</v>
      </c>
      <c r="B72" s="18" t="s">
        <v>158</v>
      </c>
      <c r="C72" s="8" t="s">
        <v>159</v>
      </c>
      <c r="D72" s="7" t="n">
        <v>4</v>
      </c>
      <c r="E72" s="8" t="s">
        <v>393</v>
      </c>
      <c r="F72" s="19"/>
      <c r="G72" s="19"/>
    </row>
    <row r="73" customFormat="false" ht="23.85" hidden="false" customHeight="false" outlineLevel="0" collapsed="false">
      <c r="A73" s="9" t="s">
        <v>20</v>
      </c>
      <c r="B73" s="18" t="s">
        <v>161</v>
      </c>
      <c r="C73" s="8" t="s">
        <v>162</v>
      </c>
      <c r="D73" s="7" t="n">
        <v>1</v>
      </c>
      <c r="E73" s="8" t="s">
        <v>394</v>
      </c>
      <c r="F73" s="19"/>
      <c r="G73" s="19"/>
    </row>
    <row r="74" customFormat="false" ht="23.85" hidden="false" customHeight="false" outlineLevel="0" collapsed="false">
      <c r="A74" s="9" t="s">
        <v>20</v>
      </c>
      <c r="B74" s="18" t="s">
        <v>161</v>
      </c>
      <c r="C74" s="8" t="s">
        <v>162</v>
      </c>
      <c r="D74" s="7" t="n">
        <v>2</v>
      </c>
      <c r="E74" s="8" t="s">
        <v>395</v>
      </c>
      <c r="F74" s="19"/>
      <c r="G74" s="19"/>
    </row>
    <row r="75" customFormat="false" ht="23.85" hidden="false" customHeight="false" outlineLevel="0" collapsed="false">
      <c r="A75" s="9" t="s">
        <v>20</v>
      </c>
      <c r="B75" s="18" t="s">
        <v>161</v>
      </c>
      <c r="C75" s="8" t="s">
        <v>162</v>
      </c>
      <c r="D75" s="7" t="n">
        <v>3</v>
      </c>
      <c r="E75" s="8" t="s">
        <v>396</v>
      </c>
      <c r="F75" s="19"/>
      <c r="G75" s="19"/>
    </row>
    <row r="76" customFormat="false" ht="23.85" hidden="false" customHeight="false" outlineLevel="0" collapsed="false">
      <c r="A76" s="9" t="s">
        <v>20</v>
      </c>
      <c r="B76" s="18" t="s">
        <v>161</v>
      </c>
      <c r="C76" s="8" t="s">
        <v>162</v>
      </c>
      <c r="D76" s="7" t="n">
        <v>4</v>
      </c>
      <c r="E76" s="8" t="s">
        <v>397</v>
      </c>
      <c r="F76" s="19"/>
      <c r="G76" s="19"/>
    </row>
    <row r="77" customFormat="false" ht="23.85" hidden="false" customHeight="false" outlineLevel="0" collapsed="false">
      <c r="A77" s="9" t="s">
        <v>20</v>
      </c>
      <c r="B77" s="18" t="s">
        <v>164</v>
      </c>
      <c r="C77" s="8" t="s">
        <v>165</v>
      </c>
      <c r="D77" s="7" t="n">
        <v>1</v>
      </c>
      <c r="E77" s="8" t="s">
        <v>398</v>
      </c>
      <c r="F77" s="19"/>
      <c r="G77" s="19"/>
    </row>
    <row r="78" customFormat="false" ht="23.85" hidden="false" customHeight="false" outlineLevel="0" collapsed="false">
      <c r="A78" s="9" t="s">
        <v>20</v>
      </c>
      <c r="B78" s="18" t="s">
        <v>164</v>
      </c>
      <c r="C78" s="8" t="s">
        <v>165</v>
      </c>
      <c r="D78" s="7" t="n">
        <v>2</v>
      </c>
      <c r="E78" s="8" t="s">
        <v>399</v>
      </c>
      <c r="F78" s="19"/>
      <c r="G78" s="19"/>
    </row>
    <row r="79" customFormat="false" ht="23.85" hidden="false" customHeight="false" outlineLevel="0" collapsed="false">
      <c r="A79" s="9" t="s">
        <v>20</v>
      </c>
      <c r="B79" s="18" t="s">
        <v>164</v>
      </c>
      <c r="C79" s="8" t="s">
        <v>165</v>
      </c>
      <c r="D79" s="7" t="n">
        <v>3</v>
      </c>
      <c r="E79" s="8" t="s">
        <v>400</v>
      </c>
      <c r="F79" s="19"/>
      <c r="G79" s="19"/>
    </row>
    <row r="80" customFormat="false" ht="23.85" hidden="false" customHeight="false" outlineLevel="0" collapsed="false">
      <c r="A80" s="9" t="s">
        <v>20</v>
      </c>
      <c r="B80" s="18" t="s">
        <v>164</v>
      </c>
      <c r="C80" s="8" t="s">
        <v>165</v>
      </c>
      <c r="D80" s="7" t="n">
        <v>4</v>
      </c>
      <c r="E80" s="8" t="s">
        <v>401</v>
      </c>
      <c r="F80" s="19"/>
      <c r="G80" s="19"/>
    </row>
    <row r="81" customFormat="false" ht="23.85" hidden="false" customHeight="false" outlineLevel="0" collapsed="false">
      <c r="A81" s="9" t="s">
        <v>20</v>
      </c>
      <c r="B81" s="18" t="s">
        <v>164</v>
      </c>
      <c r="C81" s="8" t="s">
        <v>165</v>
      </c>
      <c r="D81" s="7" t="n">
        <v>5</v>
      </c>
      <c r="E81" s="8" t="s">
        <v>402</v>
      </c>
      <c r="F81" s="19"/>
      <c r="G81" s="19"/>
    </row>
    <row r="82" customFormat="false" ht="23.85" hidden="false" customHeight="false" outlineLevel="0" collapsed="false">
      <c r="A82" s="9" t="s">
        <v>20</v>
      </c>
      <c r="B82" s="18" t="s">
        <v>167</v>
      </c>
      <c r="C82" s="8" t="s">
        <v>168</v>
      </c>
      <c r="D82" s="7" t="n">
        <v>1</v>
      </c>
      <c r="E82" s="8" t="s">
        <v>403</v>
      </c>
      <c r="F82" s="19"/>
      <c r="G82" s="19"/>
    </row>
    <row r="83" customFormat="false" ht="23.85" hidden="false" customHeight="false" outlineLevel="0" collapsed="false">
      <c r="A83" s="9" t="s">
        <v>20</v>
      </c>
      <c r="B83" s="18" t="s">
        <v>167</v>
      </c>
      <c r="C83" s="8" t="s">
        <v>168</v>
      </c>
      <c r="D83" s="7" t="n">
        <v>2</v>
      </c>
      <c r="E83" s="8" t="s">
        <v>404</v>
      </c>
      <c r="F83" s="19"/>
      <c r="G83" s="19"/>
    </row>
    <row r="84" customFormat="false" ht="23.85" hidden="false" customHeight="false" outlineLevel="0" collapsed="false">
      <c r="A84" s="9" t="s">
        <v>20</v>
      </c>
      <c r="B84" s="18" t="s">
        <v>167</v>
      </c>
      <c r="C84" s="8" t="s">
        <v>168</v>
      </c>
      <c r="D84" s="7" t="n">
        <v>3</v>
      </c>
      <c r="E84" s="8" t="s">
        <v>405</v>
      </c>
      <c r="F84" s="19"/>
      <c r="G84" s="19"/>
    </row>
    <row r="85" customFormat="false" ht="23.85" hidden="false" customHeight="false" outlineLevel="0" collapsed="false">
      <c r="A85" s="9" t="s">
        <v>20</v>
      </c>
      <c r="B85" s="18" t="s">
        <v>167</v>
      </c>
      <c r="C85" s="8" t="s">
        <v>168</v>
      </c>
      <c r="D85" s="7" t="n">
        <v>4</v>
      </c>
      <c r="E85" s="8" t="s">
        <v>406</v>
      </c>
      <c r="F85" s="19"/>
      <c r="G85" s="19"/>
    </row>
    <row r="86" customFormat="false" ht="23.85" hidden="false" customHeight="false" outlineLevel="0" collapsed="false">
      <c r="A86" s="9" t="s">
        <v>20</v>
      </c>
      <c r="B86" s="18" t="s">
        <v>170</v>
      </c>
      <c r="C86" s="8" t="s">
        <v>171</v>
      </c>
      <c r="D86" s="7" t="n">
        <v>1</v>
      </c>
      <c r="E86" s="8" t="s">
        <v>407</v>
      </c>
      <c r="F86" s="19"/>
      <c r="G86" s="19"/>
    </row>
    <row r="87" customFormat="false" ht="23.85" hidden="false" customHeight="false" outlineLevel="0" collapsed="false">
      <c r="A87" s="9" t="s">
        <v>20</v>
      </c>
      <c r="B87" s="18" t="s">
        <v>170</v>
      </c>
      <c r="C87" s="8" t="s">
        <v>171</v>
      </c>
      <c r="D87" s="7" t="n">
        <v>2</v>
      </c>
      <c r="E87" s="8" t="s">
        <v>408</v>
      </c>
      <c r="F87" s="19"/>
      <c r="G87" s="19"/>
    </row>
    <row r="88" customFormat="false" ht="23.85" hidden="false" customHeight="false" outlineLevel="0" collapsed="false">
      <c r="A88" s="9" t="s">
        <v>20</v>
      </c>
      <c r="B88" s="18" t="s">
        <v>170</v>
      </c>
      <c r="C88" s="8" t="s">
        <v>171</v>
      </c>
      <c r="D88" s="7" t="n">
        <v>3</v>
      </c>
      <c r="E88" s="8" t="s">
        <v>409</v>
      </c>
      <c r="F88" s="19"/>
      <c r="G88" s="19"/>
    </row>
    <row r="89" customFormat="false" ht="15" hidden="false" customHeight="false" outlineLevel="0" collapsed="false">
      <c r="A89" s="9" t="s">
        <v>20</v>
      </c>
      <c r="B89" s="18" t="s">
        <v>170</v>
      </c>
      <c r="C89" s="8" t="s">
        <v>171</v>
      </c>
      <c r="D89" s="7" t="n">
        <v>4</v>
      </c>
      <c r="E89" s="8" t="s">
        <v>410</v>
      </c>
      <c r="F89" s="19"/>
      <c r="G89" s="19"/>
    </row>
    <row r="90" customFormat="false" ht="23.85" hidden="false" customHeight="false" outlineLevel="0" collapsed="false">
      <c r="A90" s="9" t="s">
        <v>20</v>
      </c>
      <c r="B90" s="18" t="s">
        <v>173</v>
      </c>
      <c r="C90" s="8" t="s">
        <v>174</v>
      </c>
      <c r="D90" s="7" t="n">
        <v>1</v>
      </c>
      <c r="E90" s="8" t="s">
        <v>411</v>
      </c>
      <c r="F90" s="19"/>
      <c r="G90" s="19"/>
    </row>
    <row r="91" customFormat="false" ht="23.85" hidden="false" customHeight="false" outlineLevel="0" collapsed="false">
      <c r="A91" s="9" t="s">
        <v>20</v>
      </c>
      <c r="B91" s="18" t="s">
        <v>173</v>
      </c>
      <c r="C91" s="8" t="s">
        <v>174</v>
      </c>
      <c r="D91" s="7" t="n">
        <v>2</v>
      </c>
      <c r="E91" s="8" t="s">
        <v>412</v>
      </c>
      <c r="F91" s="19"/>
      <c r="G91" s="19"/>
    </row>
    <row r="92" customFormat="false" ht="23.85" hidden="false" customHeight="false" outlineLevel="0" collapsed="false">
      <c r="A92" s="9" t="s">
        <v>20</v>
      </c>
      <c r="B92" s="18" t="s">
        <v>173</v>
      </c>
      <c r="C92" s="8" t="s">
        <v>174</v>
      </c>
      <c r="D92" s="7" t="n">
        <v>3</v>
      </c>
      <c r="E92" s="8" t="s">
        <v>413</v>
      </c>
      <c r="F92" s="19"/>
      <c r="G92" s="19"/>
    </row>
    <row r="93" customFormat="false" ht="23.85" hidden="false" customHeight="false" outlineLevel="0" collapsed="false">
      <c r="A93" s="9" t="s">
        <v>20</v>
      </c>
      <c r="B93" s="18" t="s">
        <v>173</v>
      </c>
      <c r="C93" s="8" t="s">
        <v>174</v>
      </c>
      <c r="D93" s="7" t="n">
        <v>4</v>
      </c>
      <c r="E93" s="8" t="s">
        <v>414</v>
      </c>
      <c r="F93" s="19"/>
      <c r="G93" s="19"/>
    </row>
    <row r="94" customFormat="false" ht="23.85" hidden="false" customHeight="false" outlineLevel="0" collapsed="false">
      <c r="A94" s="9" t="s">
        <v>20</v>
      </c>
      <c r="B94" s="18" t="s">
        <v>176</v>
      </c>
      <c r="C94" s="8" t="s">
        <v>177</v>
      </c>
      <c r="D94" s="7" t="n">
        <v>1</v>
      </c>
      <c r="E94" s="8" t="s">
        <v>415</v>
      </c>
      <c r="F94" s="19"/>
      <c r="G94" s="19"/>
    </row>
    <row r="95" customFormat="false" ht="23.85" hidden="false" customHeight="false" outlineLevel="0" collapsed="false">
      <c r="A95" s="9" t="s">
        <v>20</v>
      </c>
      <c r="B95" s="18" t="s">
        <v>176</v>
      </c>
      <c r="C95" s="8" t="s">
        <v>177</v>
      </c>
      <c r="D95" s="7" t="n">
        <v>2</v>
      </c>
      <c r="E95" s="8" t="s">
        <v>416</v>
      </c>
      <c r="F95" s="19"/>
      <c r="G95" s="19"/>
    </row>
    <row r="96" customFormat="false" ht="23.85" hidden="false" customHeight="false" outlineLevel="0" collapsed="false">
      <c r="A96" s="9" t="s">
        <v>20</v>
      </c>
      <c r="B96" s="18" t="s">
        <v>176</v>
      </c>
      <c r="C96" s="8" t="s">
        <v>177</v>
      </c>
      <c r="D96" s="7" t="n">
        <v>3</v>
      </c>
      <c r="E96" s="8" t="s">
        <v>417</v>
      </c>
      <c r="F96" s="19"/>
      <c r="G96" s="19"/>
    </row>
    <row r="97" customFormat="false" ht="23.85" hidden="false" customHeight="false" outlineLevel="0" collapsed="false">
      <c r="A97" s="9" t="s">
        <v>20</v>
      </c>
      <c r="B97" s="18" t="s">
        <v>176</v>
      </c>
      <c r="C97" s="8" t="s">
        <v>177</v>
      </c>
      <c r="D97" s="7" t="n">
        <v>4</v>
      </c>
      <c r="E97" s="8" t="s">
        <v>418</v>
      </c>
      <c r="F97" s="19"/>
      <c r="G97" s="19"/>
    </row>
    <row r="98" customFormat="false" ht="23.85" hidden="false" customHeight="false" outlineLevel="0" collapsed="false">
      <c r="A98" s="9" t="s">
        <v>20</v>
      </c>
      <c r="B98" s="18" t="s">
        <v>179</v>
      </c>
      <c r="C98" s="8" t="s">
        <v>180</v>
      </c>
      <c r="D98" s="7" t="n">
        <v>1</v>
      </c>
      <c r="E98" s="8" t="s">
        <v>419</v>
      </c>
      <c r="F98" s="19"/>
      <c r="G98" s="19"/>
    </row>
    <row r="99" customFormat="false" ht="15" hidden="false" customHeight="false" outlineLevel="0" collapsed="false">
      <c r="A99" s="9" t="s">
        <v>20</v>
      </c>
      <c r="B99" s="18" t="s">
        <v>179</v>
      </c>
      <c r="C99" s="8" t="s">
        <v>180</v>
      </c>
      <c r="D99" s="7" t="n">
        <v>2</v>
      </c>
      <c r="E99" s="8" t="s">
        <v>420</v>
      </c>
      <c r="F99" s="19"/>
      <c r="G99" s="19"/>
    </row>
    <row r="100" customFormat="false" ht="15" hidden="false" customHeight="false" outlineLevel="0" collapsed="false">
      <c r="A100" s="9" t="s">
        <v>20</v>
      </c>
      <c r="B100" s="18" t="s">
        <v>179</v>
      </c>
      <c r="C100" s="8" t="s">
        <v>180</v>
      </c>
      <c r="D100" s="7" t="n">
        <v>3</v>
      </c>
      <c r="E100" s="8" t="s">
        <v>421</v>
      </c>
      <c r="F100" s="19"/>
      <c r="G100" s="19"/>
    </row>
    <row r="101" customFormat="false" ht="15" hidden="false" customHeight="false" outlineLevel="0" collapsed="false">
      <c r="A101" s="9" t="s">
        <v>20</v>
      </c>
      <c r="B101" s="18" t="s">
        <v>179</v>
      </c>
      <c r="C101" s="8" t="s">
        <v>180</v>
      </c>
      <c r="D101" s="7" t="n">
        <v>4</v>
      </c>
      <c r="E101" s="8" t="s">
        <v>422</v>
      </c>
      <c r="F101" s="19"/>
      <c r="G101" s="19"/>
    </row>
    <row r="102" customFormat="false" ht="23.85" hidden="false" customHeight="false" outlineLevel="0" collapsed="false">
      <c r="A102" s="9" t="s">
        <v>20</v>
      </c>
      <c r="B102" s="18" t="s">
        <v>179</v>
      </c>
      <c r="C102" s="8" t="s">
        <v>180</v>
      </c>
      <c r="D102" s="7" t="n">
        <v>5</v>
      </c>
      <c r="E102" s="8" t="s">
        <v>423</v>
      </c>
      <c r="F102" s="19"/>
      <c r="G102" s="19"/>
    </row>
    <row r="103" customFormat="false" ht="23.85" hidden="false" customHeight="false" outlineLevel="0" collapsed="false">
      <c r="A103" s="9" t="s">
        <v>20</v>
      </c>
      <c r="B103" s="18" t="s">
        <v>182</v>
      </c>
      <c r="C103" s="8" t="s">
        <v>186</v>
      </c>
      <c r="D103" s="7" t="n">
        <v>1</v>
      </c>
      <c r="E103" s="8" t="s">
        <v>424</v>
      </c>
      <c r="F103" s="19"/>
      <c r="G103" s="19"/>
    </row>
    <row r="104" customFormat="false" ht="23.85" hidden="false" customHeight="false" outlineLevel="0" collapsed="false">
      <c r="A104" s="9" t="s">
        <v>20</v>
      </c>
      <c r="B104" s="18" t="s">
        <v>182</v>
      </c>
      <c r="C104" s="8" t="s">
        <v>186</v>
      </c>
      <c r="D104" s="7" t="n">
        <v>2</v>
      </c>
      <c r="E104" s="8" t="s">
        <v>425</v>
      </c>
      <c r="F104" s="19"/>
      <c r="G104" s="19"/>
    </row>
    <row r="105" customFormat="false" ht="23.85" hidden="false" customHeight="false" outlineLevel="0" collapsed="false">
      <c r="A105" s="9" t="s">
        <v>20</v>
      </c>
      <c r="B105" s="18" t="s">
        <v>182</v>
      </c>
      <c r="C105" s="8" t="s">
        <v>186</v>
      </c>
      <c r="D105" s="7" t="n">
        <v>3</v>
      </c>
      <c r="E105" s="8" t="s">
        <v>426</v>
      </c>
      <c r="F105" s="19"/>
      <c r="G105" s="19"/>
    </row>
    <row r="106" customFormat="false" ht="23.85" hidden="false" customHeight="false" outlineLevel="0" collapsed="false">
      <c r="A106" s="9" t="s">
        <v>20</v>
      </c>
      <c r="B106" s="18" t="s">
        <v>182</v>
      </c>
      <c r="C106" s="8" t="s">
        <v>186</v>
      </c>
      <c r="D106" s="7" t="n">
        <v>4</v>
      </c>
      <c r="E106" s="8" t="s">
        <v>427</v>
      </c>
      <c r="F106" s="19"/>
      <c r="G106" s="19"/>
    </row>
    <row r="107" customFormat="false" ht="23.85" hidden="false" customHeight="false" outlineLevel="0" collapsed="false">
      <c r="A107" s="9" t="s">
        <v>20</v>
      </c>
      <c r="B107" s="18" t="s">
        <v>182</v>
      </c>
      <c r="C107" s="8" t="s">
        <v>186</v>
      </c>
      <c r="D107" s="7" t="n">
        <v>5</v>
      </c>
      <c r="E107" s="8" t="s">
        <v>428</v>
      </c>
      <c r="F107" s="19"/>
      <c r="G107" s="19"/>
    </row>
    <row r="108" customFormat="false" ht="23.85" hidden="false" customHeight="false" outlineLevel="0" collapsed="false">
      <c r="A108" s="9" t="s">
        <v>20</v>
      </c>
      <c r="B108" s="18" t="s">
        <v>188</v>
      </c>
      <c r="C108" s="8" t="s">
        <v>189</v>
      </c>
      <c r="D108" s="7" t="n">
        <v>1</v>
      </c>
      <c r="E108" s="8" t="s">
        <v>429</v>
      </c>
      <c r="F108" s="19"/>
      <c r="G108" s="19"/>
    </row>
    <row r="109" customFormat="false" ht="15" hidden="false" customHeight="false" outlineLevel="0" collapsed="false">
      <c r="A109" s="9" t="s">
        <v>20</v>
      </c>
      <c r="B109" s="18" t="s">
        <v>188</v>
      </c>
      <c r="C109" s="8" t="s">
        <v>189</v>
      </c>
      <c r="D109" s="7" t="n">
        <v>2</v>
      </c>
      <c r="E109" s="8" t="s">
        <v>430</v>
      </c>
      <c r="F109" s="19"/>
      <c r="G109" s="19"/>
    </row>
    <row r="110" customFormat="false" ht="15" hidden="false" customHeight="false" outlineLevel="0" collapsed="false">
      <c r="A110" s="9" t="s">
        <v>20</v>
      </c>
      <c r="B110" s="18" t="s">
        <v>188</v>
      </c>
      <c r="C110" s="8" t="s">
        <v>189</v>
      </c>
      <c r="D110" s="7" t="n">
        <v>3</v>
      </c>
      <c r="E110" s="8" t="s">
        <v>431</v>
      </c>
      <c r="F110" s="19"/>
      <c r="G110" s="19"/>
    </row>
    <row r="111" customFormat="false" ht="23.85" hidden="false" customHeight="false" outlineLevel="0" collapsed="false">
      <c r="A111" s="9" t="s">
        <v>20</v>
      </c>
      <c r="B111" s="18" t="s">
        <v>188</v>
      </c>
      <c r="C111" s="8" t="s">
        <v>189</v>
      </c>
      <c r="D111" s="7" t="n">
        <v>4</v>
      </c>
      <c r="E111" s="8" t="s">
        <v>432</v>
      </c>
      <c r="F111" s="19"/>
      <c r="G111" s="19"/>
    </row>
    <row r="112" customFormat="false" ht="23.85" hidden="false" customHeight="false" outlineLevel="0" collapsed="false">
      <c r="A112" s="9" t="s">
        <v>20</v>
      </c>
      <c r="B112" s="18" t="s">
        <v>188</v>
      </c>
      <c r="C112" s="8" t="s">
        <v>189</v>
      </c>
      <c r="D112" s="7" t="n">
        <v>5</v>
      </c>
      <c r="E112" s="8" t="s">
        <v>433</v>
      </c>
      <c r="F112" s="19"/>
      <c r="G112" s="19"/>
    </row>
    <row r="113" customFormat="false" ht="23.85" hidden="false" customHeight="false" outlineLevel="0" collapsed="false">
      <c r="A113" s="9" t="s">
        <v>20</v>
      </c>
      <c r="B113" s="18" t="s">
        <v>191</v>
      </c>
      <c r="C113" s="8" t="s">
        <v>192</v>
      </c>
      <c r="D113" s="7" t="n">
        <v>1</v>
      </c>
      <c r="E113" s="8" t="s">
        <v>434</v>
      </c>
      <c r="F113" s="19"/>
      <c r="G113" s="19"/>
    </row>
    <row r="114" customFormat="false" ht="23.85" hidden="false" customHeight="false" outlineLevel="0" collapsed="false">
      <c r="A114" s="9" t="s">
        <v>20</v>
      </c>
      <c r="B114" s="18" t="s">
        <v>191</v>
      </c>
      <c r="C114" s="8" t="s">
        <v>192</v>
      </c>
      <c r="D114" s="7" t="n">
        <v>2</v>
      </c>
      <c r="E114" s="8" t="s">
        <v>435</v>
      </c>
      <c r="F114" s="19"/>
      <c r="G114" s="19"/>
    </row>
    <row r="115" customFormat="false" ht="23.85" hidden="false" customHeight="false" outlineLevel="0" collapsed="false">
      <c r="A115" s="9" t="s">
        <v>20</v>
      </c>
      <c r="B115" s="18" t="s">
        <v>191</v>
      </c>
      <c r="C115" s="8" t="s">
        <v>192</v>
      </c>
      <c r="D115" s="7" t="n">
        <v>3</v>
      </c>
      <c r="E115" s="8" t="s">
        <v>436</v>
      </c>
      <c r="F115" s="19"/>
      <c r="G115" s="19"/>
    </row>
    <row r="116" customFormat="false" ht="23.85" hidden="false" customHeight="false" outlineLevel="0" collapsed="false">
      <c r="A116" s="9" t="s">
        <v>20</v>
      </c>
      <c r="B116" s="18" t="s">
        <v>191</v>
      </c>
      <c r="C116" s="8" t="s">
        <v>192</v>
      </c>
      <c r="D116" s="7" t="n">
        <v>4</v>
      </c>
      <c r="E116" s="8" t="s">
        <v>437</v>
      </c>
      <c r="F116" s="19"/>
      <c r="G116" s="19"/>
    </row>
    <row r="117" customFormat="false" ht="23.85" hidden="false" customHeight="false" outlineLevel="0" collapsed="false">
      <c r="A117" s="9" t="s">
        <v>20</v>
      </c>
      <c r="B117" s="18" t="s">
        <v>194</v>
      </c>
      <c r="C117" s="8" t="s">
        <v>197</v>
      </c>
      <c r="D117" s="7" t="n">
        <v>1</v>
      </c>
      <c r="E117" s="8" t="s">
        <v>438</v>
      </c>
      <c r="F117" s="19"/>
      <c r="G117" s="19"/>
    </row>
    <row r="118" customFormat="false" ht="23.85" hidden="false" customHeight="false" outlineLevel="0" collapsed="false">
      <c r="A118" s="9" t="s">
        <v>20</v>
      </c>
      <c r="B118" s="18" t="s">
        <v>194</v>
      </c>
      <c r="C118" s="8" t="s">
        <v>197</v>
      </c>
      <c r="D118" s="7" t="n">
        <v>2</v>
      </c>
      <c r="E118" s="8" t="s">
        <v>439</v>
      </c>
      <c r="F118" s="19"/>
      <c r="G118" s="19"/>
    </row>
    <row r="119" customFormat="false" ht="23.85" hidden="false" customHeight="false" outlineLevel="0" collapsed="false">
      <c r="A119" s="9" t="s">
        <v>20</v>
      </c>
      <c r="B119" s="18" t="s">
        <v>194</v>
      </c>
      <c r="C119" s="8" t="s">
        <v>197</v>
      </c>
      <c r="D119" s="7" t="n">
        <v>3</v>
      </c>
      <c r="E119" s="8" t="s">
        <v>440</v>
      </c>
      <c r="F119" s="19"/>
      <c r="G119" s="19"/>
    </row>
    <row r="120" customFormat="false" ht="15" hidden="false" customHeight="false" outlineLevel="0" collapsed="false">
      <c r="A120" s="9" t="s">
        <v>20</v>
      </c>
      <c r="B120" s="18" t="s">
        <v>194</v>
      </c>
      <c r="C120" s="8" t="s">
        <v>197</v>
      </c>
      <c r="D120" s="7" t="n">
        <v>4</v>
      </c>
      <c r="E120" s="8" t="s">
        <v>441</v>
      </c>
      <c r="F120" s="19"/>
      <c r="G120" s="19"/>
    </row>
    <row r="121" customFormat="false" ht="23.85" hidden="false" customHeight="false" outlineLevel="0" collapsed="false">
      <c r="A121" s="9" t="s">
        <v>20</v>
      </c>
      <c r="B121" s="18" t="s">
        <v>199</v>
      </c>
      <c r="C121" s="8" t="s">
        <v>200</v>
      </c>
      <c r="D121" s="7" t="n">
        <v>1</v>
      </c>
      <c r="E121" s="8" t="s">
        <v>442</v>
      </c>
      <c r="F121" s="19"/>
      <c r="G121" s="19"/>
    </row>
    <row r="122" customFormat="false" ht="15" hidden="false" customHeight="false" outlineLevel="0" collapsed="false">
      <c r="A122" s="9" t="s">
        <v>20</v>
      </c>
      <c r="B122" s="18" t="s">
        <v>199</v>
      </c>
      <c r="C122" s="8" t="s">
        <v>200</v>
      </c>
      <c r="D122" s="7" t="n">
        <v>2</v>
      </c>
      <c r="E122" s="8" t="s">
        <v>443</v>
      </c>
      <c r="F122" s="19"/>
      <c r="G122" s="19"/>
    </row>
    <row r="123" customFormat="false" ht="15" hidden="false" customHeight="false" outlineLevel="0" collapsed="false">
      <c r="A123" s="9" t="s">
        <v>20</v>
      </c>
      <c r="B123" s="18" t="s">
        <v>199</v>
      </c>
      <c r="C123" s="8" t="s">
        <v>200</v>
      </c>
      <c r="D123" s="7" t="n">
        <v>3</v>
      </c>
      <c r="E123" s="8" t="s">
        <v>444</v>
      </c>
      <c r="F123" s="19"/>
      <c r="G123" s="19"/>
    </row>
    <row r="124" customFormat="false" ht="23.85" hidden="false" customHeight="false" outlineLevel="0" collapsed="false">
      <c r="A124" s="9" t="s">
        <v>20</v>
      </c>
      <c r="B124" s="18" t="s">
        <v>199</v>
      </c>
      <c r="C124" s="8" t="s">
        <v>200</v>
      </c>
      <c r="D124" s="7" t="n">
        <v>4</v>
      </c>
      <c r="E124" s="8" t="s">
        <v>445</v>
      </c>
      <c r="F124" s="19"/>
      <c r="G124" s="19"/>
    </row>
    <row r="125" customFormat="false" ht="23.85" hidden="false" customHeight="false" outlineLevel="0" collapsed="false">
      <c r="A125" s="9" t="s">
        <v>20</v>
      </c>
      <c r="B125" s="18" t="s">
        <v>202</v>
      </c>
      <c r="C125" s="8" t="s">
        <v>205</v>
      </c>
      <c r="D125" s="7" t="n">
        <v>1</v>
      </c>
      <c r="E125" s="8" t="s">
        <v>446</v>
      </c>
      <c r="F125" s="19"/>
      <c r="G125" s="19"/>
    </row>
    <row r="126" customFormat="false" ht="15" hidden="false" customHeight="false" outlineLevel="0" collapsed="false">
      <c r="A126" s="9" t="s">
        <v>20</v>
      </c>
      <c r="B126" s="18" t="s">
        <v>202</v>
      </c>
      <c r="C126" s="8" t="s">
        <v>205</v>
      </c>
      <c r="D126" s="7" t="n">
        <v>2</v>
      </c>
      <c r="E126" s="8" t="s">
        <v>447</v>
      </c>
      <c r="F126" s="19"/>
      <c r="G126" s="19"/>
    </row>
    <row r="127" customFormat="false" ht="15" hidden="false" customHeight="false" outlineLevel="0" collapsed="false">
      <c r="A127" s="9" t="s">
        <v>20</v>
      </c>
      <c r="B127" s="18" t="s">
        <v>202</v>
      </c>
      <c r="C127" s="8" t="s">
        <v>205</v>
      </c>
      <c r="D127" s="7" t="n">
        <v>3</v>
      </c>
      <c r="E127" s="8" t="s">
        <v>448</v>
      </c>
      <c r="F127" s="19"/>
      <c r="G127" s="19"/>
    </row>
    <row r="128" customFormat="false" ht="23.85" hidden="false" customHeight="false" outlineLevel="0" collapsed="false">
      <c r="A128" s="9" t="s">
        <v>20</v>
      </c>
      <c r="B128" s="18" t="s">
        <v>202</v>
      </c>
      <c r="C128" s="8" t="s">
        <v>205</v>
      </c>
      <c r="D128" s="7" t="n">
        <v>4</v>
      </c>
      <c r="E128" s="8" t="s">
        <v>449</v>
      </c>
      <c r="F128" s="19"/>
      <c r="G128" s="19"/>
    </row>
    <row r="129" customFormat="false" ht="23.85" hidden="false" customHeight="false" outlineLevel="0" collapsed="false">
      <c r="A129" s="9" t="s">
        <v>20</v>
      </c>
      <c r="B129" s="18" t="s">
        <v>207</v>
      </c>
      <c r="C129" s="8" t="s">
        <v>208</v>
      </c>
      <c r="D129" s="7" t="n">
        <v>1</v>
      </c>
      <c r="E129" s="8" t="s">
        <v>450</v>
      </c>
      <c r="F129" s="19"/>
      <c r="G129" s="19"/>
    </row>
    <row r="130" customFormat="false" ht="15" hidden="false" customHeight="false" outlineLevel="0" collapsed="false">
      <c r="A130" s="9" t="s">
        <v>20</v>
      </c>
      <c r="B130" s="18" t="s">
        <v>207</v>
      </c>
      <c r="C130" s="8" t="s">
        <v>208</v>
      </c>
      <c r="D130" s="7" t="n">
        <v>2</v>
      </c>
      <c r="E130" s="8" t="s">
        <v>451</v>
      </c>
      <c r="F130" s="19"/>
      <c r="G130" s="19"/>
    </row>
    <row r="131" customFormat="false" ht="15" hidden="false" customHeight="false" outlineLevel="0" collapsed="false">
      <c r="A131" s="9" t="s">
        <v>20</v>
      </c>
      <c r="B131" s="18" t="s">
        <v>207</v>
      </c>
      <c r="C131" s="8" t="s">
        <v>208</v>
      </c>
      <c r="D131" s="7" t="n">
        <v>3</v>
      </c>
      <c r="E131" s="8" t="s">
        <v>452</v>
      </c>
      <c r="F131" s="19"/>
      <c r="G131" s="19"/>
    </row>
    <row r="132" customFormat="false" ht="15" hidden="false" customHeight="false" outlineLevel="0" collapsed="false">
      <c r="A132" s="9" t="s">
        <v>20</v>
      </c>
      <c r="B132" s="18" t="s">
        <v>207</v>
      </c>
      <c r="C132" s="8" t="s">
        <v>208</v>
      </c>
      <c r="D132" s="7" t="n">
        <v>4</v>
      </c>
      <c r="E132" s="8" t="s">
        <v>453</v>
      </c>
      <c r="F132" s="19"/>
      <c r="G132" s="19"/>
    </row>
    <row r="133" customFormat="false" ht="23.85" hidden="false" customHeight="false" outlineLevel="0" collapsed="false">
      <c r="A133" s="9" t="s">
        <v>20</v>
      </c>
      <c r="B133" s="18" t="s">
        <v>210</v>
      </c>
      <c r="C133" s="8" t="s">
        <v>211</v>
      </c>
      <c r="D133" s="7" t="n">
        <v>1</v>
      </c>
      <c r="E133" s="8" t="s">
        <v>454</v>
      </c>
      <c r="F133" s="19"/>
      <c r="G133" s="19"/>
    </row>
    <row r="134" customFormat="false" ht="23.85" hidden="false" customHeight="false" outlineLevel="0" collapsed="false">
      <c r="A134" s="9" t="s">
        <v>20</v>
      </c>
      <c r="B134" s="18" t="s">
        <v>210</v>
      </c>
      <c r="C134" s="8" t="s">
        <v>211</v>
      </c>
      <c r="D134" s="7" t="n">
        <v>2</v>
      </c>
      <c r="E134" s="8" t="s">
        <v>455</v>
      </c>
      <c r="F134" s="19"/>
      <c r="G134" s="19"/>
    </row>
    <row r="135" customFormat="false" ht="23.85" hidden="false" customHeight="false" outlineLevel="0" collapsed="false">
      <c r="A135" s="9" t="s">
        <v>20</v>
      </c>
      <c r="B135" s="18" t="s">
        <v>210</v>
      </c>
      <c r="C135" s="8" t="s">
        <v>211</v>
      </c>
      <c r="D135" s="7" t="n">
        <v>3</v>
      </c>
      <c r="E135" s="8" t="s">
        <v>456</v>
      </c>
      <c r="F135" s="19"/>
      <c r="G135" s="19"/>
    </row>
    <row r="136" customFormat="false" ht="23.85" hidden="false" customHeight="false" outlineLevel="0" collapsed="false">
      <c r="A136" s="9" t="s">
        <v>20</v>
      </c>
      <c r="B136" s="18" t="s">
        <v>210</v>
      </c>
      <c r="C136" s="8" t="s">
        <v>211</v>
      </c>
      <c r="D136" s="7" t="n">
        <v>4</v>
      </c>
      <c r="E136" s="8" t="s">
        <v>457</v>
      </c>
      <c r="F136" s="19"/>
      <c r="G136" s="19"/>
    </row>
    <row r="137" customFormat="false" ht="23.85" hidden="false" customHeight="false" outlineLevel="0" collapsed="false">
      <c r="A137" s="9" t="s">
        <v>20</v>
      </c>
      <c r="B137" s="18" t="s">
        <v>213</v>
      </c>
      <c r="C137" s="8" t="s">
        <v>214</v>
      </c>
      <c r="D137" s="7" t="n">
        <v>1</v>
      </c>
      <c r="E137" s="8" t="s">
        <v>458</v>
      </c>
      <c r="F137" s="19"/>
      <c r="G137" s="19"/>
    </row>
    <row r="138" customFormat="false" ht="23.85" hidden="false" customHeight="false" outlineLevel="0" collapsed="false">
      <c r="A138" s="9" t="s">
        <v>20</v>
      </c>
      <c r="B138" s="18" t="s">
        <v>213</v>
      </c>
      <c r="C138" s="8" t="s">
        <v>214</v>
      </c>
      <c r="D138" s="7" t="n">
        <v>2</v>
      </c>
      <c r="E138" s="8" t="s">
        <v>459</v>
      </c>
      <c r="F138" s="19"/>
      <c r="G138" s="19"/>
    </row>
    <row r="139" customFormat="false" ht="15" hidden="false" customHeight="false" outlineLevel="0" collapsed="false">
      <c r="A139" s="9" t="s">
        <v>20</v>
      </c>
      <c r="B139" s="18" t="s">
        <v>213</v>
      </c>
      <c r="C139" s="8" t="s">
        <v>214</v>
      </c>
      <c r="D139" s="7" t="n">
        <v>3</v>
      </c>
      <c r="E139" s="8" t="s">
        <v>460</v>
      </c>
      <c r="F139" s="19"/>
      <c r="G139" s="19"/>
    </row>
    <row r="140" customFormat="false" ht="23.85" hidden="false" customHeight="false" outlineLevel="0" collapsed="false">
      <c r="A140" s="10" t="s">
        <v>25</v>
      </c>
      <c r="B140" s="18" t="s">
        <v>216</v>
      </c>
      <c r="C140" s="8" t="s">
        <v>219</v>
      </c>
      <c r="D140" s="7" t="n">
        <v>1</v>
      </c>
      <c r="E140" s="8" t="s">
        <v>461</v>
      </c>
      <c r="F140" s="19"/>
      <c r="G140" s="19"/>
    </row>
    <row r="141" customFormat="false" ht="23.85" hidden="false" customHeight="false" outlineLevel="0" collapsed="false">
      <c r="A141" s="10" t="s">
        <v>25</v>
      </c>
      <c r="B141" s="18" t="s">
        <v>216</v>
      </c>
      <c r="C141" s="8" t="s">
        <v>219</v>
      </c>
      <c r="D141" s="7" t="n">
        <v>2</v>
      </c>
      <c r="E141" s="8" t="s">
        <v>462</v>
      </c>
      <c r="F141" s="19"/>
      <c r="G141" s="19"/>
    </row>
    <row r="142" customFormat="false" ht="23.85" hidden="false" customHeight="false" outlineLevel="0" collapsed="false">
      <c r="A142" s="10" t="s">
        <v>25</v>
      </c>
      <c r="B142" s="18" t="s">
        <v>216</v>
      </c>
      <c r="C142" s="8" t="s">
        <v>219</v>
      </c>
      <c r="D142" s="7" t="n">
        <v>3</v>
      </c>
      <c r="E142" s="8" t="s">
        <v>463</v>
      </c>
      <c r="F142" s="19"/>
      <c r="G142" s="19"/>
    </row>
    <row r="143" customFormat="false" ht="23.85" hidden="false" customHeight="false" outlineLevel="0" collapsed="false">
      <c r="A143" s="10" t="s">
        <v>25</v>
      </c>
      <c r="B143" s="18" t="s">
        <v>216</v>
      </c>
      <c r="C143" s="8" t="s">
        <v>219</v>
      </c>
      <c r="D143" s="7" t="n">
        <v>4</v>
      </c>
      <c r="E143" s="8" t="s">
        <v>464</v>
      </c>
      <c r="F143" s="19"/>
      <c r="G143" s="19"/>
    </row>
    <row r="144" customFormat="false" ht="23.85" hidden="false" customHeight="false" outlineLevel="0" collapsed="false">
      <c r="A144" s="10" t="s">
        <v>25</v>
      </c>
      <c r="B144" s="18" t="s">
        <v>221</v>
      </c>
      <c r="C144" s="8" t="s">
        <v>222</v>
      </c>
      <c r="D144" s="7" t="n">
        <v>1</v>
      </c>
      <c r="E144" s="8" t="s">
        <v>465</v>
      </c>
      <c r="F144" s="19"/>
      <c r="G144" s="19"/>
    </row>
    <row r="145" customFormat="false" ht="23.85" hidden="false" customHeight="false" outlineLevel="0" collapsed="false">
      <c r="A145" s="10" t="s">
        <v>25</v>
      </c>
      <c r="B145" s="18" t="s">
        <v>221</v>
      </c>
      <c r="C145" s="8" t="s">
        <v>222</v>
      </c>
      <c r="D145" s="7" t="n">
        <v>2</v>
      </c>
      <c r="E145" s="8" t="s">
        <v>466</v>
      </c>
      <c r="F145" s="19"/>
      <c r="G145" s="19"/>
    </row>
    <row r="146" customFormat="false" ht="23.85" hidden="false" customHeight="false" outlineLevel="0" collapsed="false">
      <c r="A146" s="10" t="s">
        <v>25</v>
      </c>
      <c r="B146" s="18" t="s">
        <v>221</v>
      </c>
      <c r="C146" s="8" t="s">
        <v>222</v>
      </c>
      <c r="D146" s="7" t="n">
        <v>3</v>
      </c>
      <c r="E146" s="8" t="s">
        <v>467</v>
      </c>
      <c r="F146" s="19"/>
      <c r="G146" s="19"/>
    </row>
    <row r="147" customFormat="false" ht="23.85" hidden="false" customHeight="false" outlineLevel="0" collapsed="false">
      <c r="A147" s="10" t="s">
        <v>25</v>
      </c>
      <c r="B147" s="18" t="s">
        <v>221</v>
      </c>
      <c r="C147" s="8" t="s">
        <v>222</v>
      </c>
      <c r="D147" s="7" t="n">
        <v>4</v>
      </c>
      <c r="E147" s="8" t="s">
        <v>468</v>
      </c>
      <c r="F147" s="19"/>
      <c r="G147" s="19"/>
    </row>
    <row r="148" customFormat="false" ht="23.85" hidden="false" customHeight="false" outlineLevel="0" collapsed="false">
      <c r="A148" s="10" t="s">
        <v>25</v>
      </c>
      <c r="B148" s="18" t="s">
        <v>221</v>
      </c>
      <c r="C148" s="8" t="s">
        <v>222</v>
      </c>
      <c r="D148" s="7" t="n">
        <v>5</v>
      </c>
      <c r="E148" s="8" t="s">
        <v>469</v>
      </c>
      <c r="F148" s="19"/>
      <c r="G148" s="19"/>
    </row>
    <row r="149" customFormat="false" ht="23.85" hidden="false" customHeight="false" outlineLevel="0" collapsed="false">
      <c r="A149" s="10" t="s">
        <v>25</v>
      </c>
      <c r="B149" s="18" t="s">
        <v>224</v>
      </c>
      <c r="C149" s="8" t="s">
        <v>225</v>
      </c>
      <c r="D149" s="7" t="n">
        <v>1</v>
      </c>
      <c r="E149" s="8" t="s">
        <v>470</v>
      </c>
      <c r="F149" s="19"/>
      <c r="G149" s="19"/>
    </row>
    <row r="150" customFormat="false" ht="23.85" hidden="false" customHeight="false" outlineLevel="0" collapsed="false">
      <c r="A150" s="10" t="s">
        <v>25</v>
      </c>
      <c r="B150" s="18" t="s">
        <v>224</v>
      </c>
      <c r="C150" s="8" t="s">
        <v>225</v>
      </c>
      <c r="D150" s="7" t="n">
        <v>2</v>
      </c>
      <c r="E150" s="8" t="s">
        <v>471</v>
      </c>
      <c r="F150" s="19"/>
      <c r="G150" s="19"/>
    </row>
    <row r="151" customFormat="false" ht="23.85" hidden="false" customHeight="false" outlineLevel="0" collapsed="false">
      <c r="A151" s="10" t="s">
        <v>25</v>
      </c>
      <c r="B151" s="18" t="s">
        <v>224</v>
      </c>
      <c r="C151" s="8" t="s">
        <v>225</v>
      </c>
      <c r="D151" s="7" t="n">
        <v>3</v>
      </c>
      <c r="E151" s="8" t="s">
        <v>472</v>
      </c>
      <c r="F151" s="19"/>
      <c r="G151" s="19"/>
    </row>
    <row r="152" customFormat="false" ht="23.85" hidden="false" customHeight="false" outlineLevel="0" collapsed="false">
      <c r="A152" s="10" t="s">
        <v>25</v>
      </c>
      <c r="B152" s="18" t="s">
        <v>224</v>
      </c>
      <c r="C152" s="8" t="s">
        <v>225</v>
      </c>
      <c r="D152" s="7" t="n">
        <v>4</v>
      </c>
      <c r="E152" s="8" t="s">
        <v>473</v>
      </c>
      <c r="F152" s="19"/>
      <c r="G152" s="19"/>
    </row>
    <row r="153" customFormat="false" ht="23.85" hidden="false" customHeight="false" outlineLevel="0" collapsed="false">
      <c r="A153" s="10" t="s">
        <v>25</v>
      </c>
      <c r="B153" s="18" t="s">
        <v>227</v>
      </c>
      <c r="C153" s="8" t="s">
        <v>228</v>
      </c>
      <c r="D153" s="7" t="n">
        <v>1</v>
      </c>
      <c r="E153" s="8" t="s">
        <v>474</v>
      </c>
      <c r="F153" s="19"/>
      <c r="G153" s="19"/>
    </row>
    <row r="154" customFormat="false" ht="23.85" hidden="false" customHeight="false" outlineLevel="0" collapsed="false">
      <c r="A154" s="10" t="s">
        <v>25</v>
      </c>
      <c r="B154" s="18" t="s">
        <v>227</v>
      </c>
      <c r="C154" s="8" t="s">
        <v>228</v>
      </c>
      <c r="D154" s="7" t="n">
        <v>2</v>
      </c>
      <c r="E154" s="8" t="s">
        <v>475</v>
      </c>
      <c r="F154" s="19"/>
      <c r="G154" s="19"/>
    </row>
    <row r="155" customFormat="false" ht="23.85" hidden="false" customHeight="false" outlineLevel="0" collapsed="false">
      <c r="A155" s="10" t="s">
        <v>25</v>
      </c>
      <c r="B155" s="18" t="s">
        <v>227</v>
      </c>
      <c r="C155" s="8" t="s">
        <v>228</v>
      </c>
      <c r="D155" s="7" t="n">
        <v>3</v>
      </c>
      <c r="E155" s="8" t="s">
        <v>476</v>
      </c>
      <c r="F155" s="19"/>
      <c r="G155" s="19"/>
    </row>
    <row r="156" customFormat="false" ht="23.85" hidden="false" customHeight="false" outlineLevel="0" collapsed="false">
      <c r="A156" s="10" t="s">
        <v>25</v>
      </c>
      <c r="B156" s="18" t="s">
        <v>227</v>
      </c>
      <c r="C156" s="8" t="s">
        <v>228</v>
      </c>
      <c r="D156" s="7" t="n">
        <v>4</v>
      </c>
      <c r="E156" s="8" t="s">
        <v>477</v>
      </c>
      <c r="F156" s="19"/>
      <c r="G156" s="19"/>
    </row>
    <row r="157" customFormat="false" ht="23.85" hidden="false" customHeight="false" outlineLevel="0" collapsed="false">
      <c r="A157" s="10" t="s">
        <v>25</v>
      </c>
      <c r="B157" s="18" t="s">
        <v>227</v>
      </c>
      <c r="C157" s="8" t="s">
        <v>228</v>
      </c>
      <c r="D157" s="7" t="n">
        <v>5</v>
      </c>
      <c r="E157" s="8" t="s">
        <v>478</v>
      </c>
      <c r="F157" s="19"/>
      <c r="G157" s="19"/>
    </row>
    <row r="158" customFormat="false" ht="23.85" hidden="false" customHeight="false" outlineLevel="0" collapsed="false">
      <c r="A158" s="10" t="s">
        <v>25</v>
      </c>
      <c r="B158" s="18" t="s">
        <v>230</v>
      </c>
      <c r="C158" s="8" t="s">
        <v>231</v>
      </c>
      <c r="D158" s="7" t="n">
        <v>1</v>
      </c>
      <c r="E158" s="8" t="s">
        <v>479</v>
      </c>
      <c r="F158" s="19"/>
      <c r="G158" s="19"/>
    </row>
    <row r="159" customFormat="false" ht="23.85" hidden="false" customHeight="false" outlineLevel="0" collapsed="false">
      <c r="A159" s="10" t="s">
        <v>25</v>
      </c>
      <c r="B159" s="18" t="s">
        <v>230</v>
      </c>
      <c r="C159" s="8" t="s">
        <v>231</v>
      </c>
      <c r="D159" s="7" t="n">
        <v>2</v>
      </c>
      <c r="E159" s="8" t="s">
        <v>480</v>
      </c>
      <c r="F159" s="19"/>
      <c r="G159" s="19"/>
    </row>
    <row r="160" customFormat="false" ht="23.85" hidden="false" customHeight="false" outlineLevel="0" collapsed="false">
      <c r="A160" s="10" t="s">
        <v>25</v>
      </c>
      <c r="B160" s="18" t="s">
        <v>230</v>
      </c>
      <c r="C160" s="8" t="s">
        <v>231</v>
      </c>
      <c r="D160" s="7" t="n">
        <v>3</v>
      </c>
      <c r="E160" s="8" t="s">
        <v>481</v>
      </c>
      <c r="F160" s="19"/>
      <c r="G160" s="19"/>
    </row>
    <row r="161" customFormat="false" ht="23.85" hidden="false" customHeight="false" outlineLevel="0" collapsed="false">
      <c r="A161" s="10" t="s">
        <v>25</v>
      </c>
      <c r="B161" s="18" t="s">
        <v>230</v>
      </c>
      <c r="C161" s="8" t="s">
        <v>231</v>
      </c>
      <c r="D161" s="7" t="n">
        <v>4</v>
      </c>
      <c r="E161" s="8" t="s">
        <v>482</v>
      </c>
      <c r="F161" s="19"/>
      <c r="G161" s="19"/>
    </row>
    <row r="162" customFormat="false" ht="23.85" hidden="false" customHeight="false" outlineLevel="0" collapsed="false">
      <c r="A162" s="10" t="s">
        <v>25</v>
      </c>
      <c r="B162" s="18" t="s">
        <v>233</v>
      </c>
      <c r="C162" s="8" t="s">
        <v>234</v>
      </c>
      <c r="D162" s="7" t="n">
        <v>1</v>
      </c>
      <c r="E162" s="8" t="s">
        <v>483</v>
      </c>
      <c r="F162" s="19"/>
      <c r="G162" s="19"/>
    </row>
    <row r="163" customFormat="false" ht="23.85" hidden="false" customHeight="false" outlineLevel="0" collapsed="false">
      <c r="A163" s="10" t="s">
        <v>25</v>
      </c>
      <c r="B163" s="18" t="s">
        <v>233</v>
      </c>
      <c r="C163" s="8" t="s">
        <v>234</v>
      </c>
      <c r="D163" s="7" t="n">
        <v>2</v>
      </c>
      <c r="E163" s="8" t="s">
        <v>484</v>
      </c>
      <c r="F163" s="19"/>
      <c r="G163" s="19"/>
    </row>
    <row r="164" customFormat="false" ht="23.85" hidden="false" customHeight="false" outlineLevel="0" collapsed="false">
      <c r="A164" s="10" t="s">
        <v>25</v>
      </c>
      <c r="B164" s="18" t="s">
        <v>233</v>
      </c>
      <c r="C164" s="8" t="s">
        <v>234</v>
      </c>
      <c r="D164" s="7" t="n">
        <v>3</v>
      </c>
      <c r="E164" s="8" t="s">
        <v>485</v>
      </c>
      <c r="F164" s="19"/>
      <c r="G164" s="19"/>
    </row>
    <row r="165" customFormat="false" ht="23.85" hidden="false" customHeight="false" outlineLevel="0" collapsed="false">
      <c r="A165" s="10" t="s">
        <v>25</v>
      </c>
      <c r="B165" s="18" t="s">
        <v>233</v>
      </c>
      <c r="C165" s="8" t="s">
        <v>234</v>
      </c>
      <c r="D165" s="7" t="n">
        <v>4</v>
      </c>
      <c r="E165" s="8" t="s">
        <v>486</v>
      </c>
      <c r="F165" s="19"/>
      <c r="G165" s="19"/>
    </row>
    <row r="166" customFormat="false" ht="23.85" hidden="false" customHeight="false" outlineLevel="0" collapsed="false">
      <c r="A166" s="10" t="s">
        <v>25</v>
      </c>
      <c r="B166" s="18" t="s">
        <v>236</v>
      </c>
      <c r="C166" s="8" t="s">
        <v>237</v>
      </c>
      <c r="D166" s="7" t="n">
        <v>1</v>
      </c>
      <c r="E166" s="8" t="s">
        <v>487</v>
      </c>
      <c r="F166" s="19"/>
      <c r="G166" s="19"/>
    </row>
    <row r="167" customFormat="false" ht="23.85" hidden="false" customHeight="false" outlineLevel="0" collapsed="false">
      <c r="A167" s="10" t="s">
        <v>25</v>
      </c>
      <c r="B167" s="18" t="s">
        <v>236</v>
      </c>
      <c r="C167" s="8" t="s">
        <v>237</v>
      </c>
      <c r="D167" s="7" t="n">
        <v>2</v>
      </c>
      <c r="E167" s="8" t="s">
        <v>488</v>
      </c>
      <c r="F167" s="19"/>
      <c r="G167" s="19"/>
    </row>
    <row r="168" customFormat="false" ht="23.85" hidden="false" customHeight="false" outlineLevel="0" collapsed="false">
      <c r="A168" s="10" t="s">
        <v>25</v>
      </c>
      <c r="B168" s="18" t="s">
        <v>236</v>
      </c>
      <c r="C168" s="8" t="s">
        <v>237</v>
      </c>
      <c r="D168" s="7" t="n">
        <v>3</v>
      </c>
      <c r="E168" s="8" t="s">
        <v>489</v>
      </c>
      <c r="F168" s="19"/>
      <c r="G168" s="19"/>
    </row>
    <row r="169" customFormat="false" ht="23.85" hidden="false" customHeight="false" outlineLevel="0" collapsed="false">
      <c r="A169" s="10" t="s">
        <v>25</v>
      </c>
      <c r="B169" s="18" t="s">
        <v>236</v>
      </c>
      <c r="C169" s="8" t="s">
        <v>237</v>
      </c>
      <c r="D169" s="7" t="n">
        <v>4</v>
      </c>
      <c r="E169" s="8" t="s">
        <v>490</v>
      </c>
      <c r="F169" s="19"/>
      <c r="G169" s="19"/>
    </row>
    <row r="170" customFormat="false" ht="35.05" hidden="false" customHeight="false" outlineLevel="0" collapsed="false">
      <c r="A170" s="10" t="s">
        <v>25</v>
      </c>
      <c r="B170" s="18" t="s">
        <v>239</v>
      </c>
      <c r="C170" s="8" t="s">
        <v>240</v>
      </c>
      <c r="D170" s="7" t="n">
        <v>1</v>
      </c>
      <c r="E170" s="8" t="s">
        <v>491</v>
      </c>
      <c r="F170" s="19"/>
      <c r="G170" s="19"/>
    </row>
    <row r="171" customFormat="false" ht="23.85" hidden="false" customHeight="false" outlineLevel="0" collapsed="false">
      <c r="A171" s="10" t="s">
        <v>25</v>
      </c>
      <c r="B171" s="18" t="s">
        <v>239</v>
      </c>
      <c r="C171" s="8" t="s">
        <v>240</v>
      </c>
      <c r="D171" s="7" t="n">
        <v>2</v>
      </c>
      <c r="E171" s="8" t="s">
        <v>492</v>
      </c>
      <c r="F171" s="19"/>
      <c r="G171" s="19"/>
    </row>
    <row r="172" customFormat="false" ht="23.85" hidden="false" customHeight="false" outlineLevel="0" collapsed="false">
      <c r="A172" s="10" t="s">
        <v>25</v>
      </c>
      <c r="B172" s="18" t="s">
        <v>239</v>
      </c>
      <c r="C172" s="8" t="s">
        <v>240</v>
      </c>
      <c r="D172" s="7" t="n">
        <v>3</v>
      </c>
      <c r="E172" s="8" t="s">
        <v>493</v>
      </c>
      <c r="F172" s="19"/>
      <c r="G172" s="19"/>
    </row>
    <row r="173" customFormat="false" ht="23.85" hidden="false" customHeight="false" outlineLevel="0" collapsed="false">
      <c r="A173" s="10" t="s">
        <v>25</v>
      </c>
      <c r="B173" s="18" t="s">
        <v>239</v>
      </c>
      <c r="C173" s="8" t="s">
        <v>240</v>
      </c>
      <c r="D173" s="7" t="n">
        <v>4</v>
      </c>
      <c r="E173" s="8" t="s">
        <v>494</v>
      </c>
      <c r="F173" s="19"/>
      <c r="G173" s="19"/>
    </row>
    <row r="174" customFormat="false" ht="23.85" hidden="false" customHeight="false" outlineLevel="0" collapsed="false">
      <c r="A174" s="10" t="s">
        <v>25</v>
      </c>
      <c r="B174" s="18" t="s">
        <v>239</v>
      </c>
      <c r="C174" s="8" t="s">
        <v>240</v>
      </c>
      <c r="D174" s="7" t="n">
        <v>5</v>
      </c>
      <c r="E174" s="8" t="s">
        <v>495</v>
      </c>
      <c r="F174" s="19"/>
      <c r="G174" s="19"/>
    </row>
    <row r="175" customFormat="false" ht="23.85" hidden="false" customHeight="false" outlineLevel="0" collapsed="false">
      <c r="A175" s="10" t="s">
        <v>25</v>
      </c>
      <c r="B175" s="18" t="s">
        <v>239</v>
      </c>
      <c r="C175" s="8" t="s">
        <v>240</v>
      </c>
      <c r="D175" s="7" t="n">
        <v>6</v>
      </c>
      <c r="E175" s="8" t="s">
        <v>496</v>
      </c>
      <c r="F175" s="19"/>
      <c r="G175" s="19"/>
    </row>
    <row r="176" customFormat="false" ht="23.85" hidden="false" customHeight="false" outlineLevel="0" collapsed="false">
      <c r="A176" s="10" t="s">
        <v>25</v>
      </c>
      <c r="B176" s="18" t="s">
        <v>242</v>
      </c>
      <c r="C176" s="8" t="s">
        <v>243</v>
      </c>
      <c r="D176" s="7" t="n">
        <v>1</v>
      </c>
      <c r="E176" s="8" t="s">
        <v>497</v>
      </c>
      <c r="F176" s="19"/>
      <c r="G176" s="19"/>
    </row>
    <row r="177" customFormat="false" ht="15" hidden="false" customHeight="false" outlineLevel="0" collapsed="false">
      <c r="A177" s="10" t="s">
        <v>25</v>
      </c>
      <c r="B177" s="18" t="s">
        <v>242</v>
      </c>
      <c r="C177" s="8" t="s">
        <v>243</v>
      </c>
      <c r="D177" s="7" t="n">
        <v>2</v>
      </c>
      <c r="E177" s="8" t="s">
        <v>498</v>
      </c>
      <c r="F177" s="19"/>
      <c r="G177" s="19"/>
    </row>
    <row r="178" customFormat="false" ht="15" hidden="false" customHeight="false" outlineLevel="0" collapsed="false">
      <c r="A178" s="10" t="s">
        <v>25</v>
      </c>
      <c r="B178" s="18" t="s">
        <v>242</v>
      </c>
      <c r="C178" s="8" t="s">
        <v>243</v>
      </c>
      <c r="D178" s="7" t="n">
        <v>3</v>
      </c>
      <c r="E178" s="8" t="s">
        <v>499</v>
      </c>
      <c r="F178" s="19"/>
      <c r="G178" s="19"/>
    </row>
    <row r="179" customFormat="false" ht="23.85" hidden="false" customHeight="false" outlineLevel="0" collapsed="false">
      <c r="A179" s="10" t="s">
        <v>25</v>
      </c>
      <c r="B179" s="18" t="s">
        <v>242</v>
      </c>
      <c r="C179" s="8" t="s">
        <v>243</v>
      </c>
      <c r="D179" s="7" t="n">
        <v>4</v>
      </c>
      <c r="E179" s="8" t="s">
        <v>500</v>
      </c>
      <c r="F179" s="19"/>
      <c r="G179" s="19"/>
    </row>
    <row r="180" customFormat="false" ht="23.85" hidden="false" customHeight="false" outlineLevel="0" collapsed="false">
      <c r="A180" s="10" t="s">
        <v>25</v>
      </c>
      <c r="B180" s="18" t="s">
        <v>242</v>
      </c>
      <c r="C180" s="8" t="s">
        <v>243</v>
      </c>
      <c r="D180" s="7" t="n">
        <v>5</v>
      </c>
      <c r="E180" s="8" t="s">
        <v>501</v>
      </c>
      <c r="F180" s="19"/>
      <c r="G180" s="19"/>
    </row>
    <row r="181" customFormat="false" ht="23.85" hidden="false" customHeight="false" outlineLevel="0" collapsed="false">
      <c r="A181" s="10" t="s">
        <v>25</v>
      </c>
      <c r="B181" s="18" t="s">
        <v>245</v>
      </c>
      <c r="C181" s="8" t="s">
        <v>246</v>
      </c>
      <c r="D181" s="7" t="n">
        <v>1</v>
      </c>
      <c r="E181" s="8" t="s">
        <v>502</v>
      </c>
      <c r="F181" s="19"/>
      <c r="G181" s="19"/>
    </row>
    <row r="182" customFormat="false" ht="23.85" hidden="false" customHeight="false" outlineLevel="0" collapsed="false">
      <c r="A182" s="10" t="s">
        <v>25</v>
      </c>
      <c r="B182" s="18" t="s">
        <v>245</v>
      </c>
      <c r="C182" s="8" t="s">
        <v>246</v>
      </c>
      <c r="D182" s="7" t="n">
        <v>2</v>
      </c>
      <c r="E182" s="8" t="s">
        <v>503</v>
      </c>
      <c r="F182" s="19"/>
      <c r="G182" s="19"/>
    </row>
    <row r="183" customFormat="false" ht="23.85" hidden="false" customHeight="false" outlineLevel="0" collapsed="false">
      <c r="A183" s="10" t="s">
        <v>25</v>
      </c>
      <c r="B183" s="18" t="s">
        <v>245</v>
      </c>
      <c r="C183" s="8" t="s">
        <v>246</v>
      </c>
      <c r="D183" s="7" t="n">
        <v>3</v>
      </c>
      <c r="E183" s="8" t="s">
        <v>504</v>
      </c>
      <c r="F183" s="19"/>
      <c r="G183" s="19"/>
    </row>
    <row r="184" customFormat="false" ht="23.85" hidden="false" customHeight="false" outlineLevel="0" collapsed="false">
      <c r="A184" s="10" t="s">
        <v>25</v>
      </c>
      <c r="B184" s="18" t="s">
        <v>245</v>
      </c>
      <c r="C184" s="8" t="s">
        <v>246</v>
      </c>
      <c r="D184" s="7" t="n">
        <v>4</v>
      </c>
      <c r="E184" s="8" t="s">
        <v>505</v>
      </c>
      <c r="F184" s="19"/>
      <c r="G184" s="19"/>
    </row>
    <row r="185" customFormat="false" ht="23.85" hidden="false" customHeight="false" outlineLevel="0" collapsed="false">
      <c r="A185" s="10" t="s">
        <v>25</v>
      </c>
      <c r="B185" s="18" t="s">
        <v>245</v>
      </c>
      <c r="C185" s="8" t="s">
        <v>246</v>
      </c>
      <c r="D185" s="7" t="n">
        <v>5</v>
      </c>
      <c r="E185" s="8" t="s">
        <v>506</v>
      </c>
      <c r="F185" s="19"/>
      <c r="G185" s="19"/>
    </row>
    <row r="186" customFormat="false" ht="23.85" hidden="false" customHeight="false" outlineLevel="0" collapsed="false">
      <c r="A186" s="10" t="s">
        <v>25</v>
      </c>
      <c r="B186" s="18" t="s">
        <v>245</v>
      </c>
      <c r="C186" s="8" t="s">
        <v>246</v>
      </c>
      <c r="D186" s="7" t="n">
        <v>6</v>
      </c>
      <c r="E186" s="8" t="s">
        <v>507</v>
      </c>
      <c r="F186" s="19"/>
      <c r="G186" s="19"/>
    </row>
    <row r="187" customFormat="false" ht="23.85" hidden="false" customHeight="false" outlineLevel="0" collapsed="false">
      <c r="A187" s="10" t="s">
        <v>25</v>
      </c>
      <c r="B187" s="18" t="s">
        <v>245</v>
      </c>
      <c r="C187" s="8" t="s">
        <v>246</v>
      </c>
      <c r="D187" s="7" t="n">
        <v>7</v>
      </c>
      <c r="E187" s="8" t="s">
        <v>508</v>
      </c>
      <c r="F187" s="19"/>
      <c r="G187" s="19"/>
    </row>
    <row r="188" customFormat="false" ht="23.85" hidden="false" customHeight="false" outlineLevel="0" collapsed="false">
      <c r="A188" s="10" t="s">
        <v>25</v>
      </c>
      <c r="B188" s="18" t="s">
        <v>248</v>
      </c>
      <c r="C188" s="8" t="s">
        <v>249</v>
      </c>
      <c r="D188" s="7" t="n">
        <v>1</v>
      </c>
      <c r="E188" s="8" t="s">
        <v>509</v>
      </c>
      <c r="F188" s="19"/>
      <c r="G188" s="19"/>
    </row>
    <row r="189" customFormat="false" ht="23.85" hidden="false" customHeight="false" outlineLevel="0" collapsed="false">
      <c r="A189" s="10" t="s">
        <v>25</v>
      </c>
      <c r="B189" s="18" t="s">
        <v>248</v>
      </c>
      <c r="C189" s="8" t="s">
        <v>249</v>
      </c>
      <c r="D189" s="7" t="n">
        <v>2</v>
      </c>
      <c r="E189" s="8" t="s">
        <v>510</v>
      </c>
      <c r="F189" s="19"/>
      <c r="G189" s="19"/>
    </row>
    <row r="190" customFormat="false" ht="23.85" hidden="false" customHeight="false" outlineLevel="0" collapsed="false">
      <c r="A190" s="10" t="s">
        <v>25</v>
      </c>
      <c r="B190" s="18" t="s">
        <v>248</v>
      </c>
      <c r="C190" s="8" t="s">
        <v>249</v>
      </c>
      <c r="D190" s="7" t="n">
        <v>3</v>
      </c>
      <c r="E190" s="8" t="s">
        <v>511</v>
      </c>
      <c r="F190" s="19"/>
      <c r="G190" s="19"/>
    </row>
    <row r="191" customFormat="false" ht="23.85" hidden="false" customHeight="false" outlineLevel="0" collapsed="false">
      <c r="A191" s="10" t="s">
        <v>25</v>
      </c>
      <c r="B191" s="18" t="s">
        <v>248</v>
      </c>
      <c r="C191" s="8" t="s">
        <v>249</v>
      </c>
      <c r="D191" s="7" t="n">
        <v>4</v>
      </c>
      <c r="E191" s="8" t="s">
        <v>512</v>
      </c>
      <c r="F191" s="19"/>
      <c r="G191" s="19"/>
    </row>
    <row r="192" customFormat="false" ht="23.85" hidden="false" customHeight="false" outlineLevel="0" collapsed="false">
      <c r="A192" s="10" t="s">
        <v>25</v>
      </c>
      <c r="B192" s="18" t="s">
        <v>248</v>
      </c>
      <c r="C192" s="8" t="s">
        <v>249</v>
      </c>
      <c r="D192" s="7" t="n">
        <v>5</v>
      </c>
      <c r="E192" s="8" t="s">
        <v>513</v>
      </c>
      <c r="F192" s="19"/>
      <c r="G192" s="19"/>
    </row>
    <row r="193" customFormat="false" ht="23.85" hidden="false" customHeight="false" outlineLevel="0" collapsed="false">
      <c r="A193" s="10" t="s">
        <v>25</v>
      </c>
      <c r="B193" s="18" t="s">
        <v>251</v>
      </c>
      <c r="C193" s="8" t="s">
        <v>252</v>
      </c>
      <c r="D193" s="7" t="n">
        <v>1</v>
      </c>
      <c r="E193" s="8" t="s">
        <v>514</v>
      </c>
      <c r="F193" s="19"/>
      <c r="G193" s="19"/>
    </row>
    <row r="194" customFormat="false" ht="23.85" hidden="false" customHeight="false" outlineLevel="0" collapsed="false">
      <c r="A194" s="10" t="s">
        <v>25</v>
      </c>
      <c r="B194" s="18" t="s">
        <v>251</v>
      </c>
      <c r="C194" s="8" t="s">
        <v>252</v>
      </c>
      <c r="D194" s="7" t="n">
        <v>2</v>
      </c>
      <c r="E194" s="8" t="s">
        <v>515</v>
      </c>
      <c r="F194" s="19"/>
      <c r="G194" s="19"/>
    </row>
    <row r="195" customFormat="false" ht="23.85" hidden="false" customHeight="false" outlineLevel="0" collapsed="false">
      <c r="A195" s="10" t="s">
        <v>25</v>
      </c>
      <c r="B195" s="18" t="s">
        <v>251</v>
      </c>
      <c r="C195" s="8" t="s">
        <v>252</v>
      </c>
      <c r="D195" s="7" t="n">
        <v>3</v>
      </c>
      <c r="E195" s="8" t="s">
        <v>516</v>
      </c>
      <c r="F195" s="19"/>
      <c r="G195" s="19"/>
    </row>
    <row r="196" customFormat="false" ht="23.85" hidden="false" customHeight="false" outlineLevel="0" collapsed="false">
      <c r="A196" s="10" t="s">
        <v>25</v>
      </c>
      <c r="B196" s="18" t="s">
        <v>251</v>
      </c>
      <c r="C196" s="8" t="s">
        <v>252</v>
      </c>
      <c r="D196" s="7" t="n">
        <v>4</v>
      </c>
      <c r="E196" s="8" t="s">
        <v>517</v>
      </c>
      <c r="F196" s="19"/>
      <c r="G196" s="19"/>
    </row>
    <row r="197" customFormat="false" ht="23.85" hidden="false" customHeight="false" outlineLevel="0" collapsed="false">
      <c r="A197" s="10" t="s">
        <v>25</v>
      </c>
      <c r="B197" s="18" t="s">
        <v>251</v>
      </c>
      <c r="C197" s="8" t="s">
        <v>252</v>
      </c>
      <c r="D197" s="7" t="n">
        <v>5</v>
      </c>
      <c r="E197" s="8" t="s">
        <v>518</v>
      </c>
      <c r="F197" s="19"/>
      <c r="G197" s="19"/>
    </row>
    <row r="198" customFormat="false" ht="23.85" hidden="false" customHeight="false" outlineLevel="0" collapsed="false">
      <c r="A198" s="10" t="s">
        <v>25</v>
      </c>
      <c r="B198" s="18" t="s">
        <v>254</v>
      </c>
      <c r="C198" s="8" t="s">
        <v>255</v>
      </c>
      <c r="D198" s="7" t="n">
        <v>1</v>
      </c>
      <c r="E198" s="8" t="s">
        <v>519</v>
      </c>
      <c r="F198" s="19"/>
      <c r="G198" s="19"/>
    </row>
    <row r="199" customFormat="false" ht="23.85" hidden="false" customHeight="false" outlineLevel="0" collapsed="false">
      <c r="A199" s="10" t="s">
        <v>25</v>
      </c>
      <c r="B199" s="18" t="s">
        <v>254</v>
      </c>
      <c r="C199" s="8" t="s">
        <v>255</v>
      </c>
      <c r="D199" s="7" t="n">
        <v>2</v>
      </c>
      <c r="E199" s="8" t="s">
        <v>520</v>
      </c>
      <c r="F199" s="19"/>
      <c r="G199" s="19"/>
    </row>
    <row r="200" customFormat="false" ht="23.85" hidden="false" customHeight="false" outlineLevel="0" collapsed="false">
      <c r="A200" s="10" t="s">
        <v>25</v>
      </c>
      <c r="B200" s="18" t="s">
        <v>254</v>
      </c>
      <c r="C200" s="8" t="s">
        <v>255</v>
      </c>
      <c r="D200" s="7" t="n">
        <v>3</v>
      </c>
      <c r="E200" s="8" t="s">
        <v>521</v>
      </c>
      <c r="F200" s="19"/>
      <c r="G200" s="19"/>
    </row>
    <row r="201" customFormat="false" ht="23.85" hidden="false" customHeight="false" outlineLevel="0" collapsed="false">
      <c r="A201" s="10" t="s">
        <v>25</v>
      </c>
      <c r="B201" s="18" t="s">
        <v>254</v>
      </c>
      <c r="C201" s="8" t="s">
        <v>255</v>
      </c>
      <c r="D201" s="7" t="n">
        <v>4</v>
      </c>
      <c r="E201" s="8" t="s">
        <v>522</v>
      </c>
      <c r="F201" s="19"/>
      <c r="G201" s="19"/>
    </row>
    <row r="202" customFormat="false" ht="23.85" hidden="false" customHeight="false" outlineLevel="0" collapsed="false">
      <c r="A202" s="10" t="s">
        <v>25</v>
      </c>
      <c r="B202" s="18" t="s">
        <v>254</v>
      </c>
      <c r="C202" s="8" t="s">
        <v>255</v>
      </c>
      <c r="D202" s="7" t="n">
        <v>5</v>
      </c>
      <c r="E202" s="8" t="s">
        <v>523</v>
      </c>
      <c r="F202" s="19"/>
      <c r="G202" s="19"/>
    </row>
    <row r="203" customFormat="false" ht="23.85" hidden="false" customHeight="false" outlineLevel="0" collapsed="false">
      <c r="A203" s="10" t="s">
        <v>25</v>
      </c>
      <c r="B203" s="18" t="s">
        <v>257</v>
      </c>
      <c r="C203" s="8" t="s">
        <v>258</v>
      </c>
      <c r="D203" s="7" t="n">
        <v>1</v>
      </c>
      <c r="E203" s="8" t="s">
        <v>524</v>
      </c>
      <c r="F203" s="19"/>
      <c r="G203" s="19"/>
    </row>
    <row r="204" customFormat="false" ht="35.05" hidden="false" customHeight="false" outlineLevel="0" collapsed="false">
      <c r="A204" s="10" t="s">
        <v>25</v>
      </c>
      <c r="B204" s="18" t="s">
        <v>257</v>
      </c>
      <c r="C204" s="8" t="s">
        <v>258</v>
      </c>
      <c r="D204" s="7" t="n">
        <v>2</v>
      </c>
      <c r="E204" s="8" t="s">
        <v>525</v>
      </c>
      <c r="F204" s="19"/>
      <c r="G204" s="19"/>
    </row>
    <row r="205" customFormat="false" ht="23.85" hidden="false" customHeight="false" outlineLevel="0" collapsed="false">
      <c r="A205" s="10" t="s">
        <v>25</v>
      </c>
      <c r="B205" s="18" t="s">
        <v>257</v>
      </c>
      <c r="C205" s="8" t="s">
        <v>258</v>
      </c>
      <c r="D205" s="7" t="n">
        <v>3</v>
      </c>
      <c r="E205" s="8" t="s">
        <v>526</v>
      </c>
      <c r="F205" s="19"/>
      <c r="G205" s="19"/>
    </row>
    <row r="206" customFormat="false" ht="23.85" hidden="false" customHeight="false" outlineLevel="0" collapsed="false">
      <c r="A206" s="10" t="s">
        <v>25</v>
      </c>
      <c r="B206" s="18" t="s">
        <v>257</v>
      </c>
      <c r="C206" s="8" t="s">
        <v>258</v>
      </c>
      <c r="D206" s="7" t="n">
        <v>4</v>
      </c>
      <c r="E206" s="8" t="s">
        <v>527</v>
      </c>
      <c r="F206" s="19"/>
      <c r="G206" s="19"/>
    </row>
    <row r="207" customFormat="false" ht="23.85" hidden="false" customHeight="false" outlineLevel="0" collapsed="false">
      <c r="A207" s="11" t="s">
        <v>30</v>
      </c>
      <c r="B207" s="18" t="s">
        <v>260</v>
      </c>
      <c r="C207" s="8" t="s">
        <v>261</v>
      </c>
      <c r="D207" s="7" t="n">
        <v>1</v>
      </c>
      <c r="E207" s="8" t="s">
        <v>528</v>
      </c>
      <c r="F207" s="19"/>
      <c r="G207" s="19"/>
    </row>
    <row r="208" customFormat="false" ht="23.85" hidden="false" customHeight="false" outlineLevel="0" collapsed="false">
      <c r="A208" s="11" t="s">
        <v>30</v>
      </c>
      <c r="B208" s="18" t="s">
        <v>260</v>
      </c>
      <c r="C208" s="8" t="s">
        <v>261</v>
      </c>
      <c r="D208" s="7" t="n">
        <v>2</v>
      </c>
      <c r="E208" s="8" t="s">
        <v>529</v>
      </c>
      <c r="F208" s="19"/>
      <c r="G208" s="19"/>
    </row>
    <row r="209" customFormat="false" ht="23.85" hidden="false" customHeight="false" outlineLevel="0" collapsed="false">
      <c r="A209" s="11" t="s">
        <v>30</v>
      </c>
      <c r="B209" s="18" t="s">
        <v>260</v>
      </c>
      <c r="C209" s="8" t="s">
        <v>261</v>
      </c>
      <c r="D209" s="7" t="n">
        <v>3</v>
      </c>
      <c r="E209" s="8" t="s">
        <v>530</v>
      </c>
      <c r="F209" s="19"/>
      <c r="G209" s="19"/>
    </row>
    <row r="210" customFormat="false" ht="15" hidden="false" customHeight="false" outlineLevel="0" collapsed="false">
      <c r="A210" s="11" t="s">
        <v>30</v>
      </c>
      <c r="B210" s="18" t="s">
        <v>260</v>
      </c>
      <c r="C210" s="8" t="s">
        <v>261</v>
      </c>
      <c r="D210" s="7" t="n">
        <v>4</v>
      </c>
      <c r="E210" s="8" t="s">
        <v>531</v>
      </c>
      <c r="F210" s="19"/>
      <c r="G210" s="19"/>
    </row>
    <row r="211" customFormat="false" ht="23.85" hidden="false" customHeight="false" outlineLevel="0" collapsed="false">
      <c r="A211" s="11" t="s">
        <v>30</v>
      </c>
      <c r="B211" s="18" t="s">
        <v>263</v>
      </c>
      <c r="C211" s="8" t="s">
        <v>264</v>
      </c>
      <c r="D211" s="7" t="n">
        <v>1</v>
      </c>
      <c r="E211" s="8" t="s">
        <v>532</v>
      </c>
      <c r="F211" s="19"/>
      <c r="G211" s="19"/>
    </row>
    <row r="212" customFormat="false" ht="23.85" hidden="false" customHeight="false" outlineLevel="0" collapsed="false">
      <c r="A212" s="11" t="s">
        <v>30</v>
      </c>
      <c r="B212" s="18" t="s">
        <v>263</v>
      </c>
      <c r="C212" s="8" t="s">
        <v>264</v>
      </c>
      <c r="D212" s="7" t="n">
        <v>2</v>
      </c>
      <c r="E212" s="8" t="s">
        <v>533</v>
      </c>
      <c r="F212" s="19"/>
      <c r="G212" s="19"/>
    </row>
    <row r="213" customFormat="false" ht="23.85" hidden="false" customHeight="false" outlineLevel="0" collapsed="false">
      <c r="A213" s="11" t="s">
        <v>30</v>
      </c>
      <c r="B213" s="18" t="s">
        <v>263</v>
      </c>
      <c r="C213" s="8" t="s">
        <v>264</v>
      </c>
      <c r="D213" s="7" t="n">
        <v>3</v>
      </c>
      <c r="E213" s="8" t="s">
        <v>534</v>
      </c>
      <c r="F213" s="19"/>
      <c r="G213" s="19"/>
    </row>
    <row r="214" customFormat="false" ht="23.85" hidden="false" customHeight="false" outlineLevel="0" collapsed="false">
      <c r="A214" s="11" t="s">
        <v>30</v>
      </c>
      <c r="B214" s="18" t="s">
        <v>263</v>
      </c>
      <c r="C214" s="8" t="s">
        <v>264</v>
      </c>
      <c r="D214" s="7" t="n">
        <v>4</v>
      </c>
      <c r="E214" s="8" t="s">
        <v>535</v>
      </c>
      <c r="F214" s="19"/>
      <c r="G214" s="19"/>
    </row>
    <row r="215" customFormat="false" ht="23.85" hidden="false" customHeight="false" outlineLevel="0" collapsed="false">
      <c r="A215" s="11" t="s">
        <v>30</v>
      </c>
      <c r="B215" s="18" t="s">
        <v>263</v>
      </c>
      <c r="C215" s="8" t="s">
        <v>264</v>
      </c>
      <c r="D215" s="7" t="n">
        <v>5</v>
      </c>
      <c r="E215" s="8" t="s">
        <v>536</v>
      </c>
      <c r="F215" s="19"/>
      <c r="G215" s="19"/>
    </row>
    <row r="216" customFormat="false" ht="23.85" hidden="false" customHeight="false" outlineLevel="0" collapsed="false">
      <c r="A216" s="11" t="s">
        <v>30</v>
      </c>
      <c r="B216" s="18" t="s">
        <v>266</v>
      </c>
      <c r="C216" s="8" t="s">
        <v>267</v>
      </c>
      <c r="D216" s="7" t="n">
        <v>1</v>
      </c>
      <c r="E216" s="8" t="s">
        <v>537</v>
      </c>
      <c r="F216" s="19"/>
      <c r="G216" s="19"/>
    </row>
    <row r="217" customFormat="false" ht="35.05" hidden="false" customHeight="false" outlineLevel="0" collapsed="false">
      <c r="A217" s="11" t="s">
        <v>30</v>
      </c>
      <c r="B217" s="18" t="s">
        <v>266</v>
      </c>
      <c r="C217" s="8" t="s">
        <v>267</v>
      </c>
      <c r="D217" s="7" t="n">
        <v>2</v>
      </c>
      <c r="E217" s="8" t="s">
        <v>538</v>
      </c>
      <c r="F217" s="19"/>
      <c r="G217" s="19"/>
    </row>
    <row r="218" customFormat="false" ht="23.85" hidden="false" customHeight="false" outlineLevel="0" collapsed="false">
      <c r="A218" s="11" t="s">
        <v>30</v>
      </c>
      <c r="B218" s="18" t="s">
        <v>266</v>
      </c>
      <c r="C218" s="8" t="s">
        <v>267</v>
      </c>
      <c r="D218" s="7" t="n">
        <v>3</v>
      </c>
      <c r="E218" s="8" t="s">
        <v>539</v>
      </c>
      <c r="F218" s="19"/>
      <c r="G218" s="19"/>
    </row>
    <row r="219" customFormat="false" ht="23.85" hidden="false" customHeight="false" outlineLevel="0" collapsed="false">
      <c r="A219" s="11" t="s">
        <v>30</v>
      </c>
      <c r="B219" s="18" t="s">
        <v>266</v>
      </c>
      <c r="C219" s="8" t="s">
        <v>267</v>
      </c>
      <c r="D219" s="7" t="n">
        <v>4</v>
      </c>
      <c r="E219" s="8" t="s">
        <v>540</v>
      </c>
      <c r="F219" s="19"/>
      <c r="G219" s="19"/>
    </row>
    <row r="220" customFormat="false" ht="23.85" hidden="false" customHeight="false" outlineLevel="0" collapsed="false">
      <c r="A220" s="11" t="s">
        <v>30</v>
      </c>
      <c r="B220" s="18" t="s">
        <v>266</v>
      </c>
      <c r="C220" s="8" t="s">
        <v>267</v>
      </c>
      <c r="D220" s="7" t="n">
        <v>5</v>
      </c>
      <c r="E220" s="8" t="s">
        <v>541</v>
      </c>
      <c r="F220" s="19"/>
      <c r="G220" s="19"/>
    </row>
    <row r="221" customFormat="false" ht="23.85" hidden="false" customHeight="false" outlineLevel="0" collapsed="false">
      <c r="A221" s="11" t="s">
        <v>30</v>
      </c>
      <c r="B221" s="18" t="s">
        <v>269</v>
      </c>
      <c r="C221" s="8" t="s">
        <v>270</v>
      </c>
      <c r="D221" s="7" t="n">
        <v>1</v>
      </c>
      <c r="E221" s="8" t="s">
        <v>542</v>
      </c>
      <c r="F221" s="19"/>
      <c r="G221" s="19"/>
    </row>
    <row r="222" customFormat="false" ht="15" hidden="false" customHeight="false" outlineLevel="0" collapsed="false">
      <c r="A222" s="11" t="s">
        <v>30</v>
      </c>
      <c r="B222" s="18" t="s">
        <v>269</v>
      </c>
      <c r="C222" s="8" t="s">
        <v>270</v>
      </c>
      <c r="D222" s="7" t="n">
        <v>2</v>
      </c>
      <c r="E222" s="8" t="s">
        <v>543</v>
      </c>
      <c r="F222" s="19"/>
      <c r="G222" s="19"/>
    </row>
    <row r="223" customFormat="false" ht="15" hidden="false" customHeight="false" outlineLevel="0" collapsed="false">
      <c r="A223" s="11" t="s">
        <v>30</v>
      </c>
      <c r="B223" s="18" t="s">
        <v>269</v>
      </c>
      <c r="C223" s="8" t="s">
        <v>270</v>
      </c>
      <c r="D223" s="7" t="n">
        <v>3</v>
      </c>
      <c r="E223" s="8" t="s">
        <v>544</v>
      </c>
      <c r="F223" s="19"/>
      <c r="G223" s="19"/>
    </row>
    <row r="224" customFormat="false" ht="15" hidden="false" customHeight="false" outlineLevel="0" collapsed="false">
      <c r="A224" s="11" t="s">
        <v>30</v>
      </c>
      <c r="B224" s="18" t="s">
        <v>269</v>
      </c>
      <c r="C224" s="8" t="s">
        <v>270</v>
      </c>
      <c r="D224" s="7" t="n">
        <v>4</v>
      </c>
      <c r="E224" s="8" t="s">
        <v>545</v>
      </c>
      <c r="F224" s="19"/>
      <c r="G224" s="19"/>
    </row>
    <row r="225" customFormat="false" ht="15" hidden="false" customHeight="false" outlineLevel="0" collapsed="false">
      <c r="A225" s="11" t="s">
        <v>30</v>
      </c>
      <c r="B225" s="18" t="s">
        <v>269</v>
      </c>
      <c r="C225" s="8" t="s">
        <v>270</v>
      </c>
      <c r="D225" s="7" t="n">
        <v>5</v>
      </c>
      <c r="E225" s="8" t="s">
        <v>546</v>
      </c>
      <c r="F225" s="19"/>
      <c r="G225" s="19"/>
    </row>
    <row r="226" customFormat="false" ht="23.85" hidden="false" customHeight="false" outlineLevel="0" collapsed="false">
      <c r="A226" s="11" t="s">
        <v>30</v>
      </c>
      <c r="B226" s="18" t="s">
        <v>272</v>
      </c>
      <c r="C226" s="8" t="s">
        <v>273</v>
      </c>
      <c r="D226" s="7" t="n">
        <v>1</v>
      </c>
      <c r="E226" s="8" t="s">
        <v>547</v>
      </c>
      <c r="F226" s="19"/>
      <c r="G226" s="19"/>
    </row>
    <row r="227" customFormat="false" ht="23.85" hidden="false" customHeight="false" outlineLevel="0" collapsed="false">
      <c r="A227" s="11" t="s">
        <v>30</v>
      </c>
      <c r="B227" s="18" t="s">
        <v>272</v>
      </c>
      <c r="C227" s="8" t="s">
        <v>273</v>
      </c>
      <c r="D227" s="7" t="n">
        <v>2</v>
      </c>
      <c r="E227" s="8" t="s">
        <v>548</v>
      </c>
      <c r="F227" s="19"/>
      <c r="G227" s="19"/>
    </row>
    <row r="228" customFormat="false" ht="23.85" hidden="false" customHeight="false" outlineLevel="0" collapsed="false">
      <c r="A228" s="11" t="s">
        <v>30</v>
      </c>
      <c r="B228" s="18" t="s">
        <v>272</v>
      </c>
      <c r="C228" s="8" t="s">
        <v>273</v>
      </c>
      <c r="D228" s="7" t="n">
        <v>3</v>
      </c>
      <c r="E228" s="8" t="s">
        <v>549</v>
      </c>
      <c r="F228" s="19"/>
      <c r="G228" s="19"/>
    </row>
    <row r="229" customFormat="false" ht="23.85" hidden="false" customHeight="false" outlineLevel="0" collapsed="false">
      <c r="A229" s="11" t="s">
        <v>30</v>
      </c>
      <c r="B229" s="18" t="s">
        <v>272</v>
      </c>
      <c r="C229" s="8" t="s">
        <v>273</v>
      </c>
      <c r="D229" s="7" t="n">
        <v>4</v>
      </c>
      <c r="E229" s="8" t="s">
        <v>550</v>
      </c>
      <c r="F229" s="19"/>
      <c r="G229" s="19"/>
    </row>
    <row r="230" customFormat="false" ht="23.85" hidden="false" customHeight="false" outlineLevel="0" collapsed="false">
      <c r="A230" s="11" t="s">
        <v>30</v>
      </c>
      <c r="B230" s="18" t="s">
        <v>275</v>
      </c>
      <c r="C230" s="8" t="s">
        <v>276</v>
      </c>
      <c r="D230" s="7" t="n">
        <v>1</v>
      </c>
      <c r="E230" s="8" t="s">
        <v>551</v>
      </c>
      <c r="F230" s="19"/>
      <c r="G230" s="19"/>
    </row>
    <row r="231" customFormat="false" ht="23.85" hidden="false" customHeight="false" outlineLevel="0" collapsed="false">
      <c r="A231" s="11" t="s">
        <v>30</v>
      </c>
      <c r="B231" s="18" t="s">
        <v>275</v>
      </c>
      <c r="C231" s="8" t="s">
        <v>276</v>
      </c>
      <c r="D231" s="7" t="n">
        <v>2</v>
      </c>
      <c r="E231" s="8" t="s">
        <v>552</v>
      </c>
      <c r="F231" s="19"/>
      <c r="G231" s="19"/>
    </row>
    <row r="232" customFormat="false" ht="23.85" hidden="false" customHeight="false" outlineLevel="0" collapsed="false">
      <c r="A232" s="11" t="s">
        <v>30</v>
      </c>
      <c r="B232" s="18" t="s">
        <v>275</v>
      </c>
      <c r="C232" s="8" t="s">
        <v>276</v>
      </c>
      <c r="D232" s="7" t="n">
        <v>3</v>
      </c>
      <c r="E232" s="8" t="s">
        <v>553</v>
      </c>
      <c r="F232" s="19"/>
      <c r="G232" s="19"/>
    </row>
    <row r="233" customFormat="false" ht="23.85" hidden="false" customHeight="false" outlineLevel="0" collapsed="false">
      <c r="A233" s="11" t="s">
        <v>30</v>
      </c>
      <c r="B233" s="18" t="s">
        <v>278</v>
      </c>
      <c r="C233" s="8" t="s">
        <v>279</v>
      </c>
      <c r="D233" s="7" t="n">
        <v>1</v>
      </c>
      <c r="E233" s="8" t="s">
        <v>554</v>
      </c>
      <c r="F233" s="19"/>
      <c r="G233" s="19"/>
    </row>
    <row r="234" customFormat="false" ht="23.85" hidden="false" customHeight="false" outlineLevel="0" collapsed="false">
      <c r="A234" s="11" t="s">
        <v>30</v>
      </c>
      <c r="B234" s="18" t="s">
        <v>278</v>
      </c>
      <c r="C234" s="8" t="s">
        <v>279</v>
      </c>
      <c r="D234" s="7" t="n">
        <v>2</v>
      </c>
      <c r="E234" s="8" t="s">
        <v>555</v>
      </c>
      <c r="F234" s="19"/>
      <c r="G234" s="19"/>
    </row>
    <row r="235" customFormat="false" ht="23.85" hidden="false" customHeight="false" outlineLevel="0" collapsed="false">
      <c r="A235" s="11" t="s">
        <v>30</v>
      </c>
      <c r="B235" s="18" t="s">
        <v>278</v>
      </c>
      <c r="C235" s="8" t="s">
        <v>279</v>
      </c>
      <c r="D235" s="7" t="n">
        <v>3</v>
      </c>
      <c r="E235" s="8" t="s">
        <v>556</v>
      </c>
      <c r="F235" s="19"/>
      <c r="G235" s="19"/>
    </row>
    <row r="236" customFormat="false" ht="15" hidden="false" customHeight="false" outlineLevel="0" collapsed="false">
      <c r="A236" s="11" t="s">
        <v>30</v>
      </c>
      <c r="B236" s="18" t="s">
        <v>278</v>
      </c>
      <c r="C236" s="8" t="s">
        <v>279</v>
      </c>
      <c r="D236" s="7" t="n">
        <v>4</v>
      </c>
      <c r="E236" s="8" t="s">
        <v>557</v>
      </c>
      <c r="F236" s="19"/>
      <c r="G236" s="19"/>
    </row>
    <row r="237" customFormat="false" ht="15" hidden="false" customHeight="false" outlineLevel="0" collapsed="false">
      <c r="A237" s="11" t="s">
        <v>30</v>
      </c>
      <c r="B237" s="18" t="s">
        <v>281</v>
      </c>
      <c r="C237" s="8" t="s">
        <v>283</v>
      </c>
      <c r="D237" s="7" t="n">
        <v>1</v>
      </c>
      <c r="E237" s="8" t="s">
        <v>558</v>
      </c>
      <c r="F237" s="19"/>
      <c r="G237" s="19"/>
    </row>
    <row r="238" customFormat="false" ht="15" hidden="false" customHeight="false" outlineLevel="0" collapsed="false">
      <c r="A238" s="11" t="s">
        <v>30</v>
      </c>
      <c r="B238" s="18" t="s">
        <v>281</v>
      </c>
      <c r="C238" s="8" t="s">
        <v>283</v>
      </c>
      <c r="D238" s="7" t="n">
        <v>2</v>
      </c>
      <c r="E238" s="8" t="s">
        <v>559</v>
      </c>
      <c r="F238" s="19"/>
      <c r="G238" s="19"/>
    </row>
    <row r="239" customFormat="false" ht="15" hidden="false" customHeight="false" outlineLevel="0" collapsed="false">
      <c r="A239" s="11" t="s">
        <v>30</v>
      </c>
      <c r="B239" s="18" t="s">
        <v>281</v>
      </c>
      <c r="C239" s="8" t="s">
        <v>283</v>
      </c>
      <c r="D239" s="7" t="n">
        <v>3</v>
      </c>
      <c r="E239" s="8" t="s">
        <v>560</v>
      </c>
      <c r="F239" s="19"/>
      <c r="G239" s="19"/>
    </row>
    <row r="240" customFormat="false" ht="15" hidden="false" customHeight="false" outlineLevel="0" collapsed="false">
      <c r="A240" s="11" t="s">
        <v>30</v>
      </c>
      <c r="B240" s="18" t="s">
        <v>281</v>
      </c>
      <c r="C240" s="8" t="s">
        <v>283</v>
      </c>
      <c r="D240" s="7" t="n">
        <v>4</v>
      </c>
      <c r="E240" s="8" t="s">
        <v>561</v>
      </c>
      <c r="F240" s="19"/>
      <c r="G240" s="19"/>
    </row>
    <row r="241" customFormat="false" ht="15" hidden="false" customHeight="false" outlineLevel="0" collapsed="false">
      <c r="A241" s="11" t="s">
        <v>30</v>
      </c>
      <c r="B241" s="18" t="s">
        <v>285</v>
      </c>
      <c r="C241" s="8" t="s">
        <v>286</v>
      </c>
      <c r="D241" s="7" t="n">
        <v>1</v>
      </c>
      <c r="E241" s="8" t="s">
        <v>562</v>
      </c>
      <c r="F241" s="19"/>
      <c r="G241" s="19"/>
    </row>
    <row r="242" customFormat="false" ht="23.85" hidden="false" customHeight="false" outlineLevel="0" collapsed="false">
      <c r="A242" s="11" t="s">
        <v>30</v>
      </c>
      <c r="B242" s="18" t="s">
        <v>285</v>
      </c>
      <c r="C242" s="8" t="s">
        <v>286</v>
      </c>
      <c r="D242" s="7" t="n">
        <v>2</v>
      </c>
      <c r="E242" s="8" t="s">
        <v>563</v>
      </c>
      <c r="F242" s="19"/>
      <c r="G242" s="19"/>
    </row>
    <row r="243" customFormat="false" ht="15" hidden="false" customHeight="false" outlineLevel="0" collapsed="false">
      <c r="A243" s="11" t="s">
        <v>30</v>
      </c>
      <c r="B243" s="18" t="s">
        <v>285</v>
      </c>
      <c r="C243" s="8" t="s">
        <v>286</v>
      </c>
      <c r="D243" s="7" t="n">
        <v>3</v>
      </c>
      <c r="E243" s="8" t="s">
        <v>564</v>
      </c>
      <c r="F243" s="19"/>
      <c r="G243" s="19"/>
    </row>
    <row r="244" customFormat="false" ht="23.85" hidden="false" customHeight="false" outlineLevel="0" collapsed="false">
      <c r="A244" s="11" t="s">
        <v>30</v>
      </c>
      <c r="B244" s="18" t="s">
        <v>285</v>
      </c>
      <c r="C244" s="8" t="s">
        <v>286</v>
      </c>
      <c r="D244" s="7" t="n">
        <v>4</v>
      </c>
      <c r="E244" s="8" t="s">
        <v>565</v>
      </c>
      <c r="F244" s="19"/>
      <c r="G244" s="19"/>
    </row>
    <row r="245" customFormat="false" ht="23.85" hidden="false" customHeight="false" outlineLevel="0" collapsed="false">
      <c r="A245" s="12" t="s">
        <v>35</v>
      </c>
      <c r="B245" s="18" t="s">
        <v>288</v>
      </c>
      <c r="C245" s="8" t="s">
        <v>289</v>
      </c>
      <c r="D245" s="7" t="n">
        <v>1</v>
      </c>
      <c r="E245" s="8" t="s">
        <v>566</v>
      </c>
      <c r="F245" s="19"/>
      <c r="G245" s="19"/>
    </row>
    <row r="246" customFormat="false" ht="23.85" hidden="false" customHeight="false" outlineLevel="0" collapsed="false">
      <c r="A246" s="12" t="s">
        <v>35</v>
      </c>
      <c r="B246" s="18" t="s">
        <v>288</v>
      </c>
      <c r="C246" s="8" t="s">
        <v>289</v>
      </c>
      <c r="D246" s="7" t="n">
        <v>2</v>
      </c>
      <c r="E246" s="8" t="s">
        <v>567</v>
      </c>
      <c r="F246" s="19"/>
      <c r="G246" s="19"/>
    </row>
    <row r="247" customFormat="false" ht="23.85" hidden="false" customHeight="false" outlineLevel="0" collapsed="false">
      <c r="A247" s="12" t="s">
        <v>35</v>
      </c>
      <c r="B247" s="18" t="s">
        <v>288</v>
      </c>
      <c r="C247" s="8" t="s">
        <v>289</v>
      </c>
      <c r="D247" s="7" t="n">
        <v>3</v>
      </c>
      <c r="E247" s="8" t="s">
        <v>568</v>
      </c>
      <c r="F247" s="19"/>
      <c r="G247" s="19"/>
    </row>
    <row r="248" customFormat="false" ht="23.85" hidden="false" customHeight="false" outlineLevel="0" collapsed="false">
      <c r="A248" s="12" t="s">
        <v>35</v>
      </c>
      <c r="B248" s="18" t="s">
        <v>288</v>
      </c>
      <c r="C248" s="8" t="s">
        <v>289</v>
      </c>
      <c r="D248" s="7" t="n">
        <v>4</v>
      </c>
      <c r="E248" s="8" t="s">
        <v>569</v>
      </c>
      <c r="F248" s="19"/>
      <c r="G248" s="19"/>
    </row>
    <row r="249" customFormat="false" ht="23.85" hidden="false" customHeight="false" outlineLevel="0" collapsed="false">
      <c r="A249" s="12" t="s">
        <v>35</v>
      </c>
      <c r="B249" s="18" t="s">
        <v>291</v>
      </c>
      <c r="C249" s="8" t="s">
        <v>292</v>
      </c>
      <c r="D249" s="7" t="n">
        <v>1</v>
      </c>
      <c r="E249" s="8" t="s">
        <v>570</v>
      </c>
      <c r="F249" s="19"/>
      <c r="G249" s="19"/>
    </row>
    <row r="250" customFormat="false" ht="15" hidden="false" customHeight="false" outlineLevel="0" collapsed="false">
      <c r="A250" s="12" t="s">
        <v>35</v>
      </c>
      <c r="B250" s="18" t="s">
        <v>291</v>
      </c>
      <c r="C250" s="8" t="s">
        <v>292</v>
      </c>
      <c r="D250" s="7" t="n">
        <v>2</v>
      </c>
      <c r="E250" s="8" t="s">
        <v>571</v>
      </c>
      <c r="F250" s="19"/>
      <c r="G250" s="19"/>
    </row>
    <row r="251" customFormat="false" ht="15" hidden="false" customHeight="false" outlineLevel="0" collapsed="false">
      <c r="A251" s="12" t="s">
        <v>35</v>
      </c>
      <c r="B251" s="18" t="s">
        <v>291</v>
      </c>
      <c r="C251" s="8" t="s">
        <v>292</v>
      </c>
      <c r="D251" s="7" t="n">
        <v>3</v>
      </c>
      <c r="E251" s="8" t="s">
        <v>572</v>
      </c>
      <c r="F251" s="19"/>
      <c r="G251" s="19"/>
    </row>
    <row r="252" customFormat="false" ht="15" hidden="false" customHeight="false" outlineLevel="0" collapsed="false">
      <c r="A252" s="12" t="s">
        <v>35</v>
      </c>
      <c r="B252" s="18" t="s">
        <v>291</v>
      </c>
      <c r="C252" s="8" t="s">
        <v>292</v>
      </c>
      <c r="D252" s="7" t="n">
        <v>4</v>
      </c>
      <c r="E252" s="8" t="s">
        <v>573</v>
      </c>
      <c r="F252" s="19"/>
      <c r="G252" s="19"/>
    </row>
    <row r="253" customFormat="false" ht="15" hidden="false" customHeight="false" outlineLevel="0" collapsed="false">
      <c r="A253" s="12" t="s">
        <v>35</v>
      </c>
      <c r="B253" s="18" t="s">
        <v>294</v>
      </c>
      <c r="C253" s="8" t="s">
        <v>295</v>
      </c>
      <c r="D253" s="7" t="n">
        <v>1</v>
      </c>
      <c r="E253" s="8" t="s">
        <v>574</v>
      </c>
      <c r="F253" s="19"/>
      <c r="G253" s="19"/>
    </row>
    <row r="254" customFormat="false" ht="23.85" hidden="false" customHeight="false" outlineLevel="0" collapsed="false">
      <c r="A254" s="12" t="s">
        <v>35</v>
      </c>
      <c r="B254" s="18" t="s">
        <v>294</v>
      </c>
      <c r="C254" s="8" t="s">
        <v>295</v>
      </c>
      <c r="D254" s="7" t="n">
        <v>2</v>
      </c>
      <c r="E254" s="8" t="s">
        <v>575</v>
      </c>
      <c r="F254" s="19"/>
      <c r="G254" s="19"/>
    </row>
    <row r="255" customFormat="false" ht="23.85" hidden="false" customHeight="false" outlineLevel="0" collapsed="false">
      <c r="A255" s="12" t="s">
        <v>35</v>
      </c>
      <c r="B255" s="18" t="s">
        <v>294</v>
      </c>
      <c r="C255" s="8" t="s">
        <v>295</v>
      </c>
      <c r="D255" s="7" t="n">
        <v>3</v>
      </c>
      <c r="E255" s="8" t="s">
        <v>576</v>
      </c>
      <c r="F255" s="19"/>
      <c r="G255" s="19"/>
    </row>
    <row r="256" customFormat="false" ht="23.85" hidden="false" customHeight="false" outlineLevel="0" collapsed="false">
      <c r="A256" s="12" t="s">
        <v>35</v>
      </c>
      <c r="B256" s="18" t="s">
        <v>294</v>
      </c>
      <c r="C256" s="8" t="s">
        <v>295</v>
      </c>
      <c r="D256" s="7" t="n">
        <v>4</v>
      </c>
      <c r="E256" s="8" t="s">
        <v>577</v>
      </c>
      <c r="F256" s="19"/>
      <c r="G256" s="19"/>
    </row>
    <row r="257" customFormat="false" ht="23.85" hidden="false" customHeight="false" outlineLevel="0" collapsed="false">
      <c r="A257" s="12" t="s">
        <v>35</v>
      </c>
      <c r="B257" s="18" t="s">
        <v>297</v>
      </c>
      <c r="C257" s="8" t="s">
        <v>298</v>
      </c>
      <c r="D257" s="7" t="n">
        <v>1</v>
      </c>
      <c r="E257" s="8" t="s">
        <v>578</v>
      </c>
      <c r="F257" s="19"/>
      <c r="G257" s="19"/>
    </row>
    <row r="258" customFormat="false" ht="23.85" hidden="false" customHeight="false" outlineLevel="0" collapsed="false">
      <c r="A258" s="12" t="s">
        <v>35</v>
      </c>
      <c r="B258" s="18" t="s">
        <v>297</v>
      </c>
      <c r="C258" s="8" t="s">
        <v>298</v>
      </c>
      <c r="D258" s="7" t="n">
        <v>2</v>
      </c>
      <c r="E258" s="8" t="s">
        <v>579</v>
      </c>
      <c r="F258" s="19"/>
      <c r="G258" s="19"/>
    </row>
    <row r="259" customFormat="false" ht="23.85" hidden="false" customHeight="false" outlineLevel="0" collapsed="false">
      <c r="A259" s="12" t="s">
        <v>35</v>
      </c>
      <c r="B259" s="18" t="s">
        <v>297</v>
      </c>
      <c r="C259" s="8" t="s">
        <v>298</v>
      </c>
      <c r="D259" s="7" t="n">
        <v>3</v>
      </c>
      <c r="E259" s="8" t="s">
        <v>580</v>
      </c>
      <c r="F259" s="19"/>
      <c r="G259" s="19"/>
    </row>
    <row r="260" customFormat="false" ht="23.85" hidden="false" customHeight="false" outlineLevel="0" collapsed="false">
      <c r="A260" s="13" t="s">
        <v>40</v>
      </c>
      <c r="B260" s="18" t="s">
        <v>300</v>
      </c>
      <c r="C260" s="8" t="s">
        <v>301</v>
      </c>
      <c r="D260" s="7" t="n">
        <v>1</v>
      </c>
      <c r="E260" s="8" t="s">
        <v>581</v>
      </c>
      <c r="F260" s="19"/>
      <c r="G260" s="19"/>
    </row>
    <row r="261" customFormat="false" ht="15" hidden="false" customHeight="false" outlineLevel="0" collapsed="false">
      <c r="A261" s="13" t="s">
        <v>40</v>
      </c>
      <c r="B261" s="18" t="s">
        <v>300</v>
      </c>
      <c r="C261" s="8" t="s">
        <v>301</v>
      </c>
      <c r="D261" s="7" t="n">
        <v>2</v>
      </c>
      <c r="E261" s="8" t="s">
        <v>582</v>
      </c>
      <c r="F261" s="19"/>
      <c r="G261" s="19"/>
    </row>
    <row r="262" customFormat="false" ht="23.85" hidden="false" customHeight="false" outlineLevel="0" collapsed="false">
      <c r="A262" s="13" t="s">
        <v>40</v>
      </c>
      <c r="B262" s="18" t="s">
        <v>300</v>
      </c>
      <c r="C262" s="8" t="s">
        <v>301</v>
      </c>
      <c r="D262" s="7" t="n">
        <v>3</v>
      </c>
      <c r="E262" s="8" t="s">
        <v>583</v>
      </c>
      <c r="F262" s="19"/>
      <c r="G262" s="19"/>
    </row>
    <row r="263" customFormat="false" ht="23.85" hidden="false" customHeight="false" outlineLevel="0" collapsed="false">
      <c r="A263" s="13" t="s">
        <v>40</v>
      </c>
      <c r="B263" s="18" t="s">
        <v>300</v>
      </c>
      <c r="C263" s="8" t="s">
        <v>301</v>
      </c>
      <c r="D263" s="7" t="n">
        <v>4</v>
      </c>
      <c r="E263" s="8" t="s">
        <v>584</v>
      </c>
      <c r="F263" s="19"/>
      <c r="G263" s="19"/>
    </row>
    <row r="264" customFormat="false" ht="23.85" hidden="false" customHeight="false" outlineLevel="0" collapsed="false">
      <c r="A264" s="13" t="s">
        <v>40</v>
      </c>
      <c r="B264" s="18" t="s">
        <v>303</v>
      </c>
      <c r="C264" s="8" t="s">
        <v>304</v>
      </c>
      <c r="D264" s="7" t="n">
        <v>1</v>
      </c>
      <c r="E264" s="8" t="s">
        <v>585</v>
      </c>
      <c r="F264" s="19"/>
      <c r="G264" s="19"/>
    </row>
    <row r="265" customFormat="false" ht="23.85" hidden="false" customHeight="false" outlineLevel="0" collapsed="false">
      <c r="A265" s="13" t="s">
        <v>40</v>
      </c>
      <c r="B265" s="18" t="s">
        <v>303</v>
      </c>
      <c r="C265" s="8" t="s">
        <v>304</v>
      </c>
      <c r="D265" s="7" t="n">
        <v>2</v>
      </c>
      <c r="E265" s="8" t="s">
        <v>586</v>
      </c>
      <c r="F265" s="19"/>
      <c r="G265" s="19"/>
    </row>
    <row r="266" customFormat="false" ht="23.85" hidden="false" customHeight="false" outlineLevel="0" collapsed="false">
      <c r="A266" s="13" t="s">
        <v>40</v>
      </c>
      <c r="B266" s="18" t="s">
        <v>303</v>
      </c>
      <c r="C266" s="8" t="s">
        <v>304</v>
      </c>
      <c r="D266" s="7" t="n">
        <v>3</v>
      </c>
      <c r="E266" s="8" t="s">
        <v>587</v>
      </c>
      <c r="F266" s="19"/>
      <c r="G266" s="19"/>
    </row>
    <row r="267" customFormat="false" ht="15" hidden="false" customHeight="false" outlineLevel="0" collapsed="false">
      <c r="A267" s="13" t="s">
        <v>40</v>
      </c>
      <c r="B267" s="18" t="s">
        <v>303</v>
      </c>
      <c r="C267" s="8" t="s">
        <v>304</v>
      </c>
      <c r="D267" s="7" t="n">
        <v>4</v>
      </c>
      <c r="E267" s="8" t="s">
        <v>588</v>
      </c>
      <c r="F267" s="19"/>
      <c r="G267" s="19"/>
    </row>
    <row r="268" customFormat="false" ht="23.85" hidden="false" customHeight="false" outlineLevel="0" collapsed="false">
      <c r="A268" s="13" t="s">
        <v>40</v>
      </c>
      <c r="B268" s="18" t="s">
        <v>306</v>
      </c>
      <c r="C268" s="8" t="s">
        <v>307</v>
      </c>
      <c r="D268" s="7" t="n">
        <v>1</v>
      </c>
      <c r="E268" s="8" t="s">
        <v>589</v>
      </c>
      <c r="F268" s="19"/>
      <c r="G268" s="19"/>
    </row>
    <row r="269" customFormat="false" ht="23.85" hidden="false" customHeight="false" outlineLevel="0" collapsed="false">
      <c r="A269" s="13" t="s">
        <v>40</v>
      </c>
      <c r="B269" s="18" t="s">
        <v>306</v>
      </c>
      <c r="C269" s="8" t="s">
        <v>307</v>
      </c>
      <c r="D269" s="7" t="n">
        <v>2</v>
      </c>
      <c r="E269" s="8" t="s">
        <v>590</v>
      </c>
      <c r="F269" s="19"/>
      <c r="G269" s="19"/>
    </row>
    <row r="270" customFormat="false" ht="23.85" hidden="false" customHeight="false" outlineLevel="0" collapsed="false">
      <c r="A270" s="13" t="s">
        <v>40</v>
      </c>
      <c r="B270" s="18" t="s">
        <v>306</v>
      </c>
      <c r="C270" s="8" t="s">
        <v>307</v>
      </c>
      <c r="D270" s="7" t="n">
        <v>3</v>
      </c>
      <c r="E270" s="8" t="s">
        <v>591</v>
      </c>
      <c r="F270" s="19"/>
      <c r="G270" s="19"/>
    </row>
    <row r="271" customFormat="false" ht="23.85" hidden="false" customHeight="false" outlineLevel="0" collapsed="false">
      <c r="A271" s="13" t="s">
        <v>40</v>
      </c>
      <c r="B271" s="18" t="s">
        <v>306</v>
      </c>
      <c r="C271" s="8" t="s">
        <v>307</v>
      </c>
      <c r="D271" s="7" t="n">
        <v>4</v>
      </c>
      <c r="E271" s="8" t="s">
        <v>592</v>
      </c>
      <c r="F271" s="19"/>
      <c r="G271" s="19"/>
    </row>
    <row r="272" customFormat="false" ht="23.85" hidden="false" customHeight="false" outlineLevel="0" collapsed="false">
      <c r="A272" s="13" t="s">
        <v>40</v>
      </c>
      <c r="B272" s="18" t="s">
        <v>309</v>
      </c>
      <c r="C272" s="8" t="s">
        <v>310</v>
      </c>
      <c r="D272" s="7" t="n">
        <v>1</v>
      </c>
      <c r="E272" s="8" t="s">
        <v>593</v>
      </c>
      <c r="F272" s="19"/>
      <c r="G272" s="19"/>
    </row>
    <row r="273" customFormat="false" ht="23.85" hidden="false" customHeight="false" outlineLevel="0" collapsed="false">
      <c r="A273" s="13" t="s">
        <v>40</v>
      </c>
      <c r="B273" s="18" t="s">
        <v>309</v>
      </c>
      <c r="C273" s="8" t="s">
        <v>310</v>
      </c>
      <c r="D273" s="7" t="n">
        <v>2</v>
      </c>
      <c r="E273" s="8" t="s">
        <v>594</v>
      </c>
      <c r="F273" s="19"/>
      <c r="G273" s="19"/>
    </row>
    <row r="274" customFormat="false" ht="23.85" hidden="false" customHeight="false" outlineLevel="0" collapsed="false">
      <c r="A274" s="13" t="s">
        <v>40</v>
      </c>
      <c r="B274" s="18" t="s">
        <v>309</v>
      </c>
      <c r="C274" s="8" t="s">
        <v>310</v>
      </c>
      <c r="D274" s="7" t="n">
        <v>3</v>
      </c>
      <c r="E274" s="8" t="s">
        <v>595</v>
      </c>
      <c r="F274" s="19"/>
      <c r="G274" s="19"/>
    </row>
    <row r="275" customFormat="false" ht="23.85" hidden="false" customHeight="false" outlineLevel="0" collapsed="false">
      <c r="A275" s="13" t="s">
        <v>40</v>
      </c>
      <c r="B275" s="18" t="s">
        <v>309</v>
      </c>
      <c r="C275" s="8" t="s">
        <v>310</v>
      </c>
      <c r="D275" s="7" t="n">
        <v>4</v>
      </c>
      <c r="E275" s="8" t="s">
        <v>596</v>
      </c>
      <c r="F275" s="19"/>
      <c r="G275" s="19"/>
    </row>
    <row r="276" customFormat="false" ht="23.85" hidden="false" customHeight="false" outlineLevel="0" collapsed="false">
      <c r="A276" s="13" t="s">
        <v>40</v>
      </c>
      <c r="B276" s="18" t="s">
        <v>309</v>
      </c>
      <c r="C276" s="8" t="s">
        <v>310</v>
      </c>
      <c r="D276" s="7" t="n">
        <v>5</v>
      </c>
      <c r="E276" s="8" t="s">
        <v>597</v>
      </c>
      <c r="F276" s="19"/>
      <c r="G276" s="19"/>
    </row>
    <row r="277" customFormat="false" ht="23.85" hidden="false" customHeight="false" outlineLevel="0" collapsed="false">
      <c r="A277" s="13" t="s">
        <v>40</v>
      </c>
      <c r="B277" s="18" t="s">
        <v>312</v>
      </c>
      <c r="C277" s="8" t="s">
        <v>313</v>
      </c>
      <c r="D277" s="7" t="n">
        <v>1</v>
      </c>
      <c r="E277" s="8" t="s">
        <v>598</v>
      </c>
      <c r="F277" s="19"/>
      <c r="G277" s="19"/>
    </row>
    <row r="278" customFormat="false" ht="15" hidden="false" customHeight="false" outlineLevel="0" collapsed="false">
      <c r="A278" s="13" t="s">
        <v>40</v>
      </c>
      <c r="B278" s="18" t="s">
        <v>312</v>
      </c>
      <c r="C278" s="8" t="s">
        <v>313</v>
      </c>
      <c r="D278" s="7" t="n">
        <v>2</v>
      </c>
      <c r="E278" s="8" t="s">
        <v>599</v>
      </c>
      <c r="F278" s="19"/>
      <c r="G278" s="19"/>
    </row>
    <row r="279" customFormat="false" ht="23.85" hidden="false" customHeight="false" outlineLevel="0" collapsed="false">
      <c r="A279" s="13" t="s">
        <v>40</v>
      </c>
      <c r="B279" s="18" t="s">
        <v>312</v>
      </c>
      <c r="C279" s="8" t="s">
        <v>313</v>
      </c>
      <c r="D279" s="7" t="n">
        <v>3</v>
      </c>
      <c r="E279" s="8" t="s">
        <v>600</v>
      </c>
      <c r="F279" s="19"/>
      <c r="G279" s="19"/>
    </row>
    <row r="280" customFormat="false" ht="23.85" hidden="false" customHeight="false" outlineLevel="0" collapsed="false">
      <c r="A280" s="13" t="s">
        <v>40</v>
      </c>
      <c r="B280" s="18" t="s">
        <v>315</v>
      </c>
      <c r="C280" s="8" t="s">
        <v>316</v>
      </c>
      <c r="D280" s="7" t="n">
        <v>1</v>
      </c>
      <c r="E280" s="8" t="s">
        <v>601</v>
      </c>
      <c r="F280" s="19"/>
      <c r="G280" s="19"/>
    </row>
    <row r="281" customFormat="false" ht="23.85" hidden="false" customHeight="false" outlineLevel="0" collapsed="false">
      <c r="A281" s="13" t="s">
        <v>40</v>
      </c>
      <c r="B281" s="18" t="s">
        <v>315</v>
      </c>
      <c r="C281" s="8" t="s">
        <v>316</v>
      </c>
      <c r="D281" s="7" t="n">
        <v>2</v>
      </c>
      <c r="E281" s="8" t="s">
        <v>602</v>
      </c>
      <c r="F281" s="19"/>
      <c r="G281" s="19"/>
    </row>
    <row r="282" customFormat="false" ht="23.85" hidden="false" customHeight="false" outlineLevel="0" collapsed="false">
      <c r="A282" s="13" t="s">
        <v>40</v>
      </c>
      <c r="B282" s="18" t="s">
        <v>315</v>
      </c>
      <c r="C282" s="8" t="s">
        <v>316</v>
      </c>
      <c r="D282" s="7" t="n">
        <v>3</v>
      </c>
      <c r="E282" s="8" t="s">
        <v>603</v>
      </c>
      <c r="F282" s="19"/>
      <c r="G282" s="19"/>
    </row>
    <row r="283" customFormat="false" ht="23.85" hidden="false" customHeight="false" outlineLevel="0" collapsed="false">
      <c r="A283" s="13" t="s">
        <v>40</v>
      </c>
      <c r="B283" s="18" t="s">
        <v>315</v>
      </c>
      <c r="C283" s="8" t="s">
        <v>316</v>
      </c>
      <c r="D283" s="7" t="n">
        <v>4</v>
      </c>
      <c r="E283" s="8" t="s">
        <v>604</v>
      </c>
      <c r="F283" s="19"/>
      <c r="G283" s="19"/>
    </row>
  </sheetData>
  <autoFilter ref="A1:G2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2026-07-14T15:18:45Z</dcterms:created>
  <dc:creator>openpyxl</dc:creator>
  <dc:description/>
  <dc:language>en-US</dc:language>
  <cp:lastModifiedBy/>
  <dcterms:modified xsi:type="dcterms:W3CDTF">2026-07-14T15:18:46Z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