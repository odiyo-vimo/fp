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ep Tracker" sheetId="1" state="visible" r:id="rId3"/>
    <sheet name="Phase Summary" sheetId="2" state="visible" r:id="rId4"/>
    <sheet name="Dependencies" sheetId="3" state="visible" r:id="rId5"/>
    <sheet name="Success Criteria" sheetId="4" state="visible" r:id="rId6"/>
    <sheet name="Recommendations" sheetId="5" state="visible" r:id="rId7"/>
  </sheets>
  <definedNames>
    <definedName function="false" hidden="true" localSheetId="0" name="_xlnm._FilterDatabase" vbProcedure="false">'Step Tracker'!$A$2:$J$50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<sst xmlns="http://schemas.openxmlformats.org/spreadsheetml/2006/main" count="493" uniqueCount="228">
  <si>
    <t xml:space="preserve">Legend: edit only the yellow columns (Status, Owner, Notes). Status list: Not started, In progress, Blocked, Done.</t>
  </si>
  <si>
    <t xml:space="preserve">Step ID</t>
  </si>
  <si>
    <t xml:space="preserve">Phase</t>
  </si>
  <si>
    <t xml:space="preserve">Track</t>
  </si>
  <si>
    <t xml:space="preserve">Step</t>
  </si>
  <si>
    <t xml:space="preserve">Dependencies</t>
  </si>
  <si>
    <t xml:space="preserve">Success criteria</t>
  </si>
  <si>
    <t xml:space="preserve">Lead role</t>
  </si>
  <si>
    <t xml:space="preserve">Status</t>
  </si>
  <si>
    <t xml:space="preserve">Owner (name)</t>
  </si>
  <si>
    <t xml:space="preserve">Notes / evidence</t>
  </si>
  <si>
    <t xml:space="preserve">P0.1</t>
  </si>
  <si>
    <t xml:space="preserve">Mobilise and confirm</t>
  </si>
  <si>
    <t xml:space="preserve">Governance</t>
  </si>
  <si>
    <t xml:space="preserve">Confirm ADR.040/041 as the MVP candidate and record the executive decision</t>
  </si>
  <si>
    <t xml:space="preserve">D5, D7, D8</t>
  </si>
  <si>
    <t xml:space="preserve">-</t>
  </si>
  <si>
    <t xml:space="preserve">MVP Lead / Service Owner</t>
  </si>
  <si>
    <t xml:space="preserve">Not started</t>
  </si>
  <si>
    <t xml:space="preserve">P0.2</t>
  </si>
  <si>
    <t xml:space="preserve">Name owners for business, DWIT, security, network, operations, Boomi implementation and 24x7 support</t>
  </si>
  <si>
    <t xml:space="preserve">P0.3</t>
  </si>
  <si>
    <t xml:space="preserve">Confirm data classification, file naming rules, typical and peak file sizes, and quarterly schedule</t>
  </si>
  <si>
    <t xml:space="preserve">P0.4</t>
  </si>
  <si>
    <t xml:space="preserve">Record decision D7: build against current ADR endpoints, re-point to Data Lake later as a configuration change</t>
  </si>
  <si>
    <t xml:space="preserve">P0.5</t>
  </si>
  <si>
    <t xml:space="preserve">Open a RAID log and decision log with named owners; agree go/no-go criteria up front (use SC1 to SC6)</t>
  </si>
  <si>
    <t xml:space="preserve">P1.1</t>
  </si>
  <si>
    <t xml:space="preserve">Environments and connectivity</t>
  </si>
  <si>
    <t xml:space="preserve">Platform (critical path)</t>
  </si>
  <si>
    <t xml:space="preserve">Confirm Dev, Test, Pre-prod and Prod MFT tenants and MFT CI/CD portal access</t>
  </si>
  <si>
    <t xml:space="preserve">D1, D2, D3, D4, D6</t>
  </si>
  <si>
    <t xml:space="preserve">Platform Engineer / Network</t>
  </si>
  <si>
    <t xml:space="preserve">P1.2</t>
  </si>
  <si>
    <t xml:space="preserve">Install and register organisation-hosted runtimes; confirm Windows Server hardening and Defender AV (D6)</t>
  </si>
  <si>
    <t xml:space="preserve">P1.3</t>
  </si>
  <si>
    <t xml:space="preserve">Raise firewall and allow-list changes for NPS, ADR and ONS in every environment (inbound and outbound, protocol and port)</t>
  </si>
  <si>
    <t xml:space="preserve">P1.4</t>
  </si>
  <si>
    <t xml:space="preserve">Agree with ONS the new sending endpoint, source IPs and a production-like lower environment</t>
  </si>
  <si>
    <t xml:space="preserve">P1.5</t>
  </si>
  <si>
    <t xml:space="preserve">Run a connectivity smoke test per endpoint per environment (TCP, protocol handshake, auth) and record evidence</t>
  </si>
  <si>
    <t xml:space="preserve">P2.1</t>
  </si>
  <si>
    <t xml:space="preserve">Security and credentials</t>
  </si>
  <si>
    <t xml:space="preserve">Security</t>
  </si>
  <si>
    <t xml:space="preserve">Exchange SSH host keys / certificates and pin them; agree key rotation ownership</t>
  </si>
  <si>
    <t xml:space="preserve">D2, D3, D5, D6</t>
  </si>
  <si>
    <t xml:space="preserve">SC5, SC6</t>
  </si>
  <si>
    <t xml:space="preserve">Security Architect</t>
  </si>
  <si>
    <t xml:space="preserve">P2.2</t>
  </si>
  <si>
    <t xml:space="preserve">Decide credential storage: native MFT vault now, or documented route to enterprise PAM (tracked gap G-14)</t>
  </si>
  <si>
    <t xml:space="preserve">P2.3</t>
  </si>
  <si>
    <t xml:space="preserve">Confirm AV scanning point and behaviour on scan failure (quarantine, alert, no onward delivery)</t>
  </si>
  <si>
    <t xml:space="preserve">P2.4</t>
  </si>
  <si>
    <t xml:space="preserve">Check feed file size against AV scan ceiling (about 250 MB, gap G-15); design split or exception if exceeded</t>
  </si>
  <si>
    <t xml:space="preserve">P2.5</t>
  </si>
  <si>
    <t xml:space="preserve">Obtain security sign-off of the transfer design for the confirmed classification</t>
  </si>
  <si>
    <t xml:space="preserve">P3.1</t>
  </si>
  <si>
    <t xml:space="preserve">Configure Leg A (NPS to ADR)</t>
  </si>
  <si>
    <t xml:space="preserve">Build</t>
  </si>
  <si>
    <t xml:space="preserve">Define source and target endpoints, file mask and naming rules</t>
  </si>
  <si>
    <t xml:space="preserve">D1, D3, D5</t>
  </si>
  <si>
    <t xml:space="preserve">SC1, SC4, SC5, SC6</t>
  </si>
  <si>
    <t xml:space="preserve">Boomi MFT Engineer</t>
  </si>
  <si>
    <t xml:space="preserve">P3.2</t>
  </si>
  <si>
    <t xml:space="preserve">Set schedule and non-arrival window aligned to the quarterly feed</t>
  </si>
  <si>
    <t xml:space="preserve">P3.3</t>
  </si>
  <si>
    <t xml:space="preserve">Configure AV scan, archive, quarantine, retry and checksum validation</t>
  </si>
  <si>
    <t xml:space="preserve">P3.4</t>
  </si>
  <si>
    <t xml:space="preserve">Configure alerts for non-arrival, transfer failure and scan failure to a named team</t>
  </si>
  <si>
    <t xml:space="preserve">P3.5</t>
  </si>
  <si>
    <t xml:space="preserve">Parameterise environment-specific values so promotion changes config, not design</t>
  </si>
  <si>
    <t xml:space="preserve">P4.1</t>
  </si>
  <si>
    <t xml:space="preserve">Configure Leg B (ADR to ONS)</t>
  </si>
  <si>
    <t xml:space="preserve">Define ADR output source and ONS external target with pinned host key / certificate</t>
  </si>
  <si>
    <t xml:space="preserve">D3, D4, D5</t>
  </si>
  <si>
    <t xml:space="preserve">SC2, SC4, SC5, SC6</t>
  </si>
  <si>
    <t xml:space="preserve">P4.2</t>
  </si>
  <si>
    <t xml:space="preserve">Set trigger (schedule or event after Leg A processing chain completes)</t>
  </si>
  <si>
    <t xml:space="preserve">P4.3</t>
  </si>
  <si>
    <t xml:space="preserve">P4.4</t>
  </si>
  <si>
    <t xml:space="preserve">Agree and configure the ONS receipt acknowledgement method</t>
  </si>
  <si>
    <t xml:space="preserve">P4.5</t>
  </si>
  <si>
    <t xml:space="preserve">Configure alerts and audit record fields as per SC6</t>
  </si>
  <si>
    <t xml:space="preserve">P5.1</t>
  </si>
  <si>
    <t xml:space="preserve">CI/CD promotion</t>
  </si>
  <si>
    <t xml:space="preserve">Package both leg configurations in the MFT CI/CD portal</t>
  </si>
  <si>
    <t xml:space="preserve">D1</t>
  </si>
  <si>
    <t xml:space="preserve">SC3</t>
  </si>
  <si>
    <t xml:space="preserve">Platform Engineer</t>
  </si>
  <si>
    <t xml:space="preserve">P5.2</t>
  </si>
  <si>
    <t xml:space="preserve">Define approval roles (requester, approver) and segregation of duties</t>
  </si>
  <si>
    <t xml:space="preserve">P5.3</t>
  </si>
  <si>
    <t xml:space="preserve">Promote Dev to Test to Pre-prod with environment overrides only</t>
  </si>
  <si>
    <t xml:space="preserve">P5.4</t>
  </si>
  <si>
    <t xml:space="preserve">Test and document rollback: config rows are data, so rollback is a re-promotion of the prior version (gap G-13)</t>
  </si>
  <si>
    <t xml:space="preserve">P5.5</t>
  </si>
  <si>
    <t xml:space="preserve">Capture promotion audit evidence for each step</t>
  </si>
  <si>
    <t xml:space="preserve">P6.1</t>
  </si>
  <si>
    <t xml:space="preserve">Observability and audit</t>
  </si>
  <si>
    <t xml:space="preserve">Operate</t>
  </si>
  <si>
    <t xml:space="preserve">Confirm transfer history view covers both legs end to end</t>
  </si>
  <si>
    <t xml:space="preserve">D8</t>
  </si>
  <si>
    <t xml:space="preserve">SC4, SC5, SC6</t>
  </si>
  <si>
    <t xml:space="preserve">Operations Lead</t>
  </si>
  <si>
    <t xml:space="preserve">P6.2</t>
  </si>
  <si>
    <t xml:space="preserve">Verify audit record fields: source, destination, file size, checksum, timestamps, outcome</t>
  </si>
  <si>
    <t xml:space="preserve">P6.3</t>
  </si>
  <si>
    <t xml:space="preserve">Route alerts to the named team; ServiceNow or Dynatrace only if essential for readiness</t>
  </si>
  <si>
    <t xml:space="preserve">P6.4</t>
  </si>
  <si>
    <t xml:space="preserve">Define simple service KPIs: on-time delivery, failures, mean time to recover</t>
  </si>
  <si>
    <t xml:space="preserve">P7.1</t>
  </si>
  <si>
    <t xml:space="preserve">Test</t>
  </si>
  <si>
    <t xml:space="preserve">Assure</t>
  </si>
  <si>
    <t xml:space="preserve">Positive: Leg A and Leg B end to end with representative file sizes</t>
  </si>
  <si>
    <t xml:space="preserve">D4, D5</t>
  </si>
  <si>
    <t xml:space="preserve">SC1, SC2, SC3, SC4, SC5, SC6</t>
  </si>
  <si>
    <t xml:space="preserve">Test Lead</t>
  </si>
  <si>
    <t xml:space="preserve">P7.2</t>
  </si>
  <si>
    <t xml:space="preserve">Negative: non-arrival, target unavailable, credential failure, AV scan failure, checksum mismatch, duplicate file</t>
  </si>
  <si>
    <t xml:space="preserve">P7.3</t>
  </si>
  <si>
    <t xml:space="preserve">Recovery: retry, re-run from archive, release from quarantine</t>
  </si>
  <si>
    <t xml:space="preserve">P7.4</t>
  </si>
  <si>
    <t xml:space="preserve">Promotion and rollback test via CI/CD portal</t>
  </si>
  <si>
    <t xml:space="preserve">P7.5</t>
  </si>
  <si>
    <t xml:space="preserve">Collate a test evidence pack mapped to SC1 to SC6</t>
  </si>
  <si>
    <t xml:space="preserve">P8.1</t>
  </si>
  <si>
    <t xml:space="preserve">Prove in production and hand over</t>
  </si>
  <si>
    <t xml:space="preserve">Promote to Prod through CI/CD with change approval</t>
  </si>
  <si>
    <t xml:space="preserve">SC1, SC2, SC4, SC5, SC6</t>
  </si>
  <si>
    <t xml:space="preserve">Service Owner</t>
  </si>
  <si>
    <t xml:space="preserve">P8.2</t>
  </si>
  <si>
    <t xml:space="preserve">Run the live quarterly transfer with hypercare and parallel check against the legacy route</t>
  </si>
  <si>
    <t xml:space="preserve">P8.3</t>
  </si>
  <si>
    <t xml:space="preserve">Decommission or disable the UTM and IF/SDES route once delivery is confirmed</t>
  </si>
  <si>
    <t xml:space="preserve">P8.4</t>
  </si>
  <si>
    <t xml:space="preserve">Hand over runbook, alert routing, support model and Boomi 24x7 escalation; run a support drill</t>
  </si>
  <si>
    <t xml:space="preserve">P8.5</t>
  </si>
  <si>
    <t xml:space="preserve">Obtain service acceptance from operations</t>
  </si>
  <si>
    <t xml:space="preserve">P9.1</t>
  </si>
  <si>
    <t xml:space="preserve">Go/no-go and scale recommendation</t>
  </si>
  <si>
    <t xml:space="preserve">Score each success criterion with evidence</t>
  </si>
  <si>
    <t xml:space="preserve">MVP Lead</t>
  </si>
  <si>
    <t xml:space="preserve">P9.2</t>
  </si>
  <si>
    <t xml:space="preserve">Record lessons learned, open gaps (G-13, G-14, G-15) and platform constraints</t>
  </si>
  <si>
    <t xml:space="preserve">P9.3</t>
  </si>
  <si>
    <t xml:space="preserve">Define the onboarding pattern and template for the next feeds</t>
  </si>
  <si>
    <t xml:space="preserve">P9.4</t>
  </si>
  <si>
    <t xml:space="preserve">Issue go/no-go and wider adoption recommendation to the executive sponsor</t>
  </si>
  <si>
    <t xml:space="preserve">Phase ID</t>
  </si>
  <si>
    <t xml:space="preserve">Exit gate</t>
  </si>
  <si>
    <t xml:space="preserve">Steps</t>
  </si>
  <si>
    <t xml:space="preserve">Done</t>
  </si>
  <si>
    <t xml:space="preserve">% complete</t>
  </si>
  <si>
    <t xml:space="preserve">P0</t>
  </si>
  <si>
    <t xml:space="preserve">Decision log signed off; owners named; file profile confirmed</t>
  </si>
  <si>
    <t xml:space="preserve">P1</t>
  </si>
  <si>
    <t xml:space="preserve">All endpoints reachable from runtime in lower environments with evidence</t>
  </si>
  <si>
    <t xml:space="preserve">P2</t>
  </si>
  <si>
    <t xml:space="preserve">Security design approved; credentials and keys in place</t>
  </si>
  <si>
    <t xml:space="preserve">P3</t>
  </si>
  <si>
    <t xml:space="preserve">Leg A runs in Dev with a synthetic file</t>
  </si>
  <si>
    <t xml:space="preserve">P4</t>
  </si>
  <si>
    <t xml:space="preserve">Leg B delivers to ONS lower environment with acknowledgement</t>
  </si>
  <si>
    <t xml:space="preserve">P5</t>
  </si>
  <si>
    <t xml:space="preserve">Both legs promoted to Pre-prod via approved pipeline with audit trail</t>
  </si>
  <si>
    <t xml:space="preserve">P6</t>
  </si>
  <si>
    <t xml:space="preserve">Dashboards and alerts demonstrated to operations</t>
  </si>
  <si>
    <t xml:space="preserve">P7</t>
  </si>
  <si>
    <t xml:space="preserve">Evidence pack reviewed; defects closed or accepted</t>
  </si>
  <si>
    <t xml:space="preserve">P8</t>
  </si>
  <si>
    <t xml:space="preserve">Live feed delivered; service accepted by operations</t>
  </si>
  <si>
    <t xml:space="preserve">P9</t>
  </si>
  <si>
    <t xml:space="preserve">Recommendation issued; definition of done met</t>
  </si>
  <si>
    <t xml:space="preserve">TOTAL</t>
  </si>
  <si>
    <t xml:space="preserve">ID</t>
  </si>
  <si>
    <t xml:space="preserve">Dependency</t>
  </si>
  <si>
    <t xml:space="preserve">Dev, Test, Pre-prod and Prod environments on Boomi SaaS MFT, including MFT CI/CD portal</t>
  </si>
  <si>
    <t xml:space="preserve">D2</t>
  </si>
  <si>
    <t xml:space="preserve">Organisation-hosted Boomi runtimes with anti-virus capability</t>
  </si>
  <si>
    <t xml:space="preserve">D3</t>
  </si>
  <si>
    <t xml:space="preserve">End-to-end connectivity, firewall and allow-list changes for NPS, ADR/Data Lake and ONS, with credentials, certificates and host keys</t>
  </si>
  <si>
    <t xml:space="preserve">D4</t>
  </si>
  <si>
    <t xml:space="preserve">ONS agreement to receive from the new sending endpoint, plus a production-like lower environment</t>
  </si>
  <si>
    <t xml:space="preserve">D5</t>
  </si>
  <si>
    <t xml:space="preserve">Representative or synthetic test files, confirmed file naming rules and data classification</t>
  </si>
  <si>
    <t xml:space="preserve">D6</t>
  </si>
  <si>
    <t xml:space="preserve">Windows Server readiness including Microsoft Defender Antivirus and platform security controls</t>
  </si>
  <si>
    <t xml:space="preserve">D7</t>
  </si>
  <si>
    <t xml:space="preserve">Decision on ADR-to-Data Lake migration (recommended: build against available endpoint, re-point by configuration)</t>
  </si>
  <si>
    <t xml:space="preserve">Named business, DWIT, security, network, operations contacts plus Boomi implementation and 24x7 support</t>
  </si>
  <si>
    <t xml:space="preserve">Criterion</t>
  </si>
  <si>
    <t xml:space="preserve">SC1</t>
  </si>
  <si>
    <t xml:space="preserve">Leg A delivers the file into the ADR or Data Lake landing area</t>
  </si>
  <si>
    <t xml:space="preserve">SC2</t>
  </si>
  <si>
    <t xml:space="preserve">Leg B delivers directly to ONS and receipt is acknowledged</t>
  </si>
  <si>
    <t xml:space="preserve">Both legs configured in Dev and promoted through approval-controlled CI/CD</t>
  </si>
  <si>
    <t xml:space="preserve">SC4</t>
  </si>
  <si>
    <t xml:space="preserve">Scheduling runs without manual intervention; transfer history visible end to end</t>
  </si>
  <si>
    <t xml:space="preserve">SC5</t>
  </si>
  <si>
    <t xml:space="preserve">Non-arrival, transfer failure and scan failure raise evidenced alerts to a named team</t>
  </si>
  <si>
    <t xml:space="preserve">SC6</t>
  </si>
  <si>
    <t xml:space="preserve">Each transfer creates an auditable record: source, destination, size, checksum, timestamps, outcome</t>
  </si>
  <si>
    <t xml:space="preserve">Recommendation</t>
  </si>
  <si>
    <t xml:space="preserve">Rationale</t>
  </si>
  <si>
    <t xml:space="preserve">R1</t>
  </si>
  <si>
    <t xml:space="preserve">Treat connectivity as the critical path</t>
  </si>
  <si>
    <t xml:space="preserve">Firewall, allow-list and ONS changes take longest. Raise them in P0/P1 before configuration is ready.</t>
  </si>
  <si>
    <t xml:space="preserve">R2</t>
  </si>
  <si>
    <t xml:space="preserve">Test file size against the AV scan ceiling early</t>
  </si>
  <si>
    <t xml:space="preserve">If the scan file exceeds the approx 250 MB AV limit (G-15), the scan-failure path becomes the normal path.</t>
  </si>
  <si>
    <t xml:space="preserve">R3</t>
  </si>
  <si>
    <t xml:space="preserve">Decide credential storage explicitly</t>
  </si>
  <si>
    <t xml:space="preserve">No documented native route to enterprise PAM (G-14). Record the MVP choice and the target state as a decision.</t>
  </si>
  <si>
    <t xml:space="preserve">R4</t>
  </si>
  <si>
    <t xml:space="preserve">Document rollback for config promotion</t>
  </si>
  <si>
    <t xml:space="preserve">MFT configuration is data, not a build artefact (G-13). Prove rollback as re-promotion of the prior version.</t>
  </si>
  <si>
    <t xml:space="preserve">R5</t>
  </si>
  <si>
    <t xml:space="preserve">Build against current ADR, re-point later</t>
  </si>
  <si>
    <t xml:space="preserve">Proving re-pointing to the Data Lake as a config-only change is itself evidence for scale.</t>
  </si>
  <si>
    <t xml:space="preserve">R6</t>
  </si>
  <si>
    <t xml:space="preserve">Prove SFTP through any load balancer early</t>
  </si>
  <si>
    <t xml:space="preserve">Protocol-layer load balancing, source NAT and allow-lists can break external delivery to ONS.</t>
  </si>
  <si>
    <t xml:space="preserve">R7</t>
  </si>
  <si>
    <t xml:space="preserve">Keep the legacy route warm until live proof</t>
  </si>
  <si>
    <t xml:space="preserve">Run the first production quarter with a fallback to UTM and IF/SDES until SC1 and SC2 are evidenced.</t>
  </si>
  <si>
    <t xml:space="preserve">R8</t>
  </si>
  <si>
    <t xml:space="preserve">Agree the ONS acknowledgement mechanism</t>
  </si>
  <si>
    <t xml:space="preserve">SC2 requires acknowledged receipt; confirm what counts as an acknowledgement before build.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</si>
</sst>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2B3A"/>
        <bgColor rgb="FF003366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D2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23.85" hidden="false" customHeight="fals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18</v>
      </c>
      <c r="I3" s="4"/>
      <c r="J3" s="4"/>
    </row>
    <row r="4" customFormat="false" ht="23.85" hidden="false" customHeight="false" outlineLevel="0" collapsed="false">
      <c r="A4" s="3" t="s">
        <v>19</v>
      </c>
      <c r="B4" s="3" t="s">
        <v>12</v>
      </c>
      <c r="C4" s="3" t="s">
        <v>13</v>
      </c>
      <c r="D4" s="3" t="s">
        <v>20</v>
      </c>
      <c r="E4" s="3" t="s">
        <v>15</v>
      </c>
      <c r="F4" s="3" t="s">
        <v>16</v>
      </c>
      <c r="G4" s="3" t="s">
        <v>17</v>
      </c>
      <c r="H4" s="4" t="s">
        <v>18</v>
      </c>
      <c r="I4" s="4"/>
      <c r="J4" s="4"/>
    </row>
    <row r="5" customFormat="false" ht="23.85" hidden="false" customHeight="false" outlineLevel="0" collapsed="false">
      <c r="A5" s="3" t="s">
        <v>21</v>
      </c>
      <c r="B5" s="3" t="s">
        <v>12</v>
      </c>
      <c r="C5" s="3" t="s">
        <v>13</v>
      </c>
      <c r="D5" s="3" t="s">
        <v>22</v>
      </c>
      <c r="E5" s="3" t="s">
        <v>15</v>
      </c>
      <c r="F5" s="3" t="s">
        <v>16</v>
      </c>
      <c r="G5" s="3" t="s">
        <v>17</v>
      </c>
      <c r="H5" s="4" t="s">
        <v>18</v>
      </c>
      <c r="I5" s="4"/>
      <c r="J5" s="4"/>
    </row>
    <row r="6" customFormat="false" ht="23.85" hidden="false" customHeight="false" outlineLevel="0" collapsed="false">
      <c r="A6" s="3" t="s">
        <v>23</v>
      </c>
      <c r="B6" s="3" t="s">
        <v>12</v>
      </c>
      <c r="C6" s="3" t="s">
        <v>13</v>
      </c>
      <c r="D6" s="3" t="s">
        <v>24</v>
      </c>
      <c r="E6" s="3" t="s">
        <v>15</v>
      </c>
      <c r="F6" s="3" t="s">
        <v>16</v>
      </c>
      <c r="G6" s="3" t="s">
        <v>17</v>
      </c>
      <c r="H6" s="4" t="s">
        <v>18</v>
      </c>
      <c r="I6" s="4"/>
      <c r="J6" s="4"/>
    </row>
    <row r="7" customFormat="false" ht="23.85" hidden="false" customHeight="false" outlineLevel="0" collapsed="false">
      <c r="A7" s="3" t="s">
        <v>25</v>
      </c>
      <c r="B7" s="3" t="s">
        <v>12</v>
      </c>
      <c r="C7" s="3" t="s">
        <v>13</v>
      </c>
      <c r="D7" s="3" t="s">
        <v>26</v>
      </c>
      <c r="E7" s="3" t="s">
        <v>15</v>
      </c>
      <c r="F7" s="3" t="s">
        <v>16</v>
      </c>
      <c r="G7" s="3" t="s">
        <v>17</v>
      </c>
      <c r="H7" s="4" t="s">
        <v>18</v>
      </c>
      <c r="I7" s="4"/>
      <c r="J7" s="4"/>
    </row>
    <row r="8" customFormat="false" ht="23.85" hidden="false" customHeight="false" outlineLevel="0" collapsed="false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16</v>
      </c>
      <c r="G8" s="3" t="s">
        <v>32</v>
      </c>
      <c r="H8" s="4" t="s">
        <v>18</v>
      </c>
      <c r="I8" s="4"/>
      <c r="J8" s="4"/>
    </row>
    <row r="9" customFormat="false" ht="23.85" hidden="false" customHeight="false" outlineLevel="0" collapsed="false">
      <c r="A9" s="3" t="s">
        <v>33</v>
      </c>
      <c r="B9" s="3" t="s">
        <v>28</v>
      </c>
      <c r="C9" s="3" t="s">
        <v>29</v>
      </c>
      <c r="D9" s="3" t="s">
        <v>34</v>
      </c>
      <c r="E9" s="3" t="s">
        <v>31</v>
      </c>
      <c r="F9" s="3" t="s">
        <v>16</v>
      </c>
      <c r="G9" s="3" t="s">
        <v>32</v>
      </c>
      <c r="H9" s="4" t="s">
        <v>18</v>
      </c>
      <c r="I9" s="4"/>
      <c r="J9" s="4"/>
    </row>
    <row r="10" customFormat="false" ht="23.85" hidden="false" customHeight="false" outlineLevel="0" collapsed="false">
      <c r="A10" s="3" t="s">
        <v>35</v>
      </c>
      <c r="B10" s="3" t="s">
        <v>28</v>
      </c>
      <c r="C10" s="3" t="s">
        <v>29</v>
      </c>
      <c r="D10" s="3" t="s">
        <v>36</v>
      </c>
      <c r="E10" s="3" t="s">
        <v>31</v>
      </c>
      <c r="F10" s="3" t="s">
        <v>16</v>
      </c>
      <c r="G10" s="3" t="s">
        <v>32</v>
      </c>
      <c r="H10" s="4" t="s">
        <v>18</v>
      </c>
      <c r="I10" s="4"/>
      <c r="J10" s="4"/>
    </row>
    <row r="11" customFormat="false" ht="23.85" hidden="false" customHeight="false" outlineLevel="0" collapsed="false">
      <c r="A11" s="3" t="s">
        <v>37</v>
      </c>
      <c r="B11" s="3" t="s">
        <v>28</v>
      </c>
      <c r="C11" s="3" t="s">
        <v>29</v>
      </c>
      <c r="D11" s="3" t="s">
        <v>38</v>
      </c>
      <c r="E11" s="3" t="s">
        <v>31</v>
      </c>
      <c r="F11" s="3" t="s">
        <v>16</v>
      </c>
      <c r="G11" s="3" t="s">
        <v>32</v>
      </c>
      <c r="H11" s="4" t="s">
        <v>18</v>
      </c>
      <c r="I11" s="4"/>
      <c r="J11" s="4"/>
    </row>
    <row r="12" customFormat="false" ht="23.85" hidden="false" customHeight="false" outlineLevel="0" collapsed="false">
      <c r="A12" s="3" t="s">
        <v>39</v>
      </c>
      <c r="B12" s="3" t="s">
        <v>28</v>
      </c>
      <c r="C12" s="3" t="s">
        <v>29</v>
      </c>
      <c r="D12" s="3" t="s">
        <v>40</v>
      </c>
      <c r="E12" s="3" t="s">
        <v>31</v>
      </c>
      <c r="F12" s="3" t="s">
        <v>16</v>
      </c>
      <c r="G12" s="3" t="s">
        <v>32</v>
      </c>
      <c r="H12" s="4" t="s">
        <v>18</v>
      </c>
      <c r="I12" s="4"/>
      <c r="J12" s="4"/>
    </row>
    <row r="13" customFormat="false" ht="23.85" hidden="false" customHeight="false" outlineLevel="0" collapsed="false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  <c r="H13" s="4" t="s">
        <v>18</v>
      </c>
      <c r="I13" s="4"/>
      <c r="J13" s="4"/>
    </row>
    <row r="14" customFormat="false" ht="23.85" hidden="false" customHeight="false" outlineLevel="0" collapsed="false">
      <c r="A14" s="3" t="s">
        <v>48</v>
      </c>
      <c r="B14" s="3" t="s">
        <v>42</v>
      </c>
      <c r="C14" s="3" t="s">
        <v>43</v>
      </c>
      <c r="D14" s="3" t="s">
        <v>49</v>
      </c>
      <c r="E14" s="3" t="s">
        <v>45</v>
      </c>
      <c r="F14" s="3" t="s">
        <v>46</v>
      </c>
      <c r="G14" s="3" t="s">
        <v>47</v>
      </c>
      <c r="H14" s="4" t="s">
        <v>18</v>
      </c>
      <c r="I14" s="4"/>
      <c r="J14" s="4"/>
    </row>
    <row r="15" customFormat="false" ht="23.85" hidden="false" customHeight="false" outlineLevel="0" collapsed="false">
      <c r="A15" s="3" t="s">
        <v>50</v>
      </c>
      <c r="B15" s="3" t="s">
        <v>42</v>
      </c>
      <c r="C15" s="3" t="s">
        <v>43</v>
      </c>
      <c r="D15" s="3" t="s">
        <v>51</v>
      </c>
      <c r="E15" s="3" t="s">
        <v>45</v>
      </c>
      <c r="F15" s="3" t="s">
        <v>46</v>
      </c>
      <c r="G15" s="3" t="s">
        <v>47</v>
      </c>
      <c r="H15" s="4" t="s">
        <v>18</v>
      </c>
      <c r="I15" s="4"/>
      <c r="J15" s="4"/>
    </row>
    <row r="16" customFormat="false" ht="23.85" hidden="false" customHeight="false" outlineLevel="0" collapsed="false">
      <c r="A16" s="3" t="s">
        <v>52</v>
      </c>
      <c r="B16" s="3" t="s">
        <v>42</v>
      </c>
      <c r="C16" s="3" t="s">
        <v>43</v>
      </c>
      <c r="D16" s="3" t="s">
        <v>53</v>
      </c>
      <c r="E16" s="3" t="s">
        <v>45</v>
      </c>
      <c r="F16" s="3" t="s">
        <v>46</v>
      </c>
      <c r="G16" s="3" t="s">
        <v>47</v>
      </c>
      <c r="H16" s="4" t="s">
        <v>18</v>
      </c>
      <c r="I16" s="4"/>
      <c r="J16" s="4"/>
    </row>
    <row r="17" customFormat="false" ht="23.85" hidden="false" customHeight="false" outlineLevel="0" collapsed="false">
      <c r="A17" s="3" t="s">
        <v>54</v>
      </c>
      <c r="B17" s="3" t="s">
        <v>42</v>
      </c>
      <c r="C17" s="3" t="s">
        <v>43</v>
      </c>
      <c r="D17" s="3" t="s">
        <v>55</v>
      </c>
      <c r="E17" s="3" t="s">
        <v>45</v>
      </c>
      <c r="F17" s="3" t="s">
        <v>46</v>
      </c>
      <c r="G17" s="3" t="s">
        <v>47</v>
      </c>
      <c r="H17" s="4" t="s">
        <v>18</v>
      </c>
      <c r="I17" s="4"/>
      <c r="J17" s="4"/>
    </row>
    <row r="18" customFormat="false" ht="23.85" hidden="false" customHeight="false" outlineLevel="0" collapsed="false">
      <c r="A18" s="3" t="s">
        <v>56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61</v>
      </c>
      <c r="G18" s="3" t="s">
        <v>62</v>
      </c>
      <c r="H18" s="4" t="s">
        <v>18</v>
      </c>
      <c r="I18" s="4"/>
      <c r="J18" s="4"/>
    </row>
    <row r="19" customFormat="false" ht="23.85" hidden="false" customHeight="false" outlineLevel="0" collapsed="false">
      <c r="A19" s="3" t="s">
        <v>63</v>
      </c>
      <c r="B19" s="3" t="s">
        <v>57</v>
      </c>
      <c r="C19" s="3" t="s">
        <v>58</v>
      </c>
      <c r="D19" s="3" t="s">
        <v>64</v>
      </c>
      <c r="E19" s="3" t="s">
        <v>60</v>
      </c>
      <c r="F19" s="3" t="s">
        <v>61</v>
      </c>
      <c r="G19" s="3" t="s">
        <v>62</v>
      </c>
      <c r="H19" s="4" t="s">
        <v>18</v>
      </c>
      <c r="I19" s="4"/>
      <c r="J19" s="4"/>
    </row>
    <row r="20" customFormat="false" ht="23.85" hidden="false" customHeight="false" outlineLevel="0" collapsed="false">
      <c r="A20" s="3" t="s">
        <v>65</v>
      </c>
      <c r="B20" s="3" t="s">
        <v>57</v>
      </c>
      <c r="C20" s="3" t="s">
        <v>58</v>
      </c>
      <c r="D20" s="3" t="s">
        <v>66</v>
      </c>
      <c r="E20" s="3" t="s">
        <v>60</v>
      </c>
      <c r="F20" s="3" t="s">
        <v>61</v>
      </c>
      <c r="G20" s="3" t="s">
        <v>62</v>
      </c>
      <c r="H20" s="4" t="s">
        <v>18</v>
      </c>
      <c r="I20" s="4"/>
      <c r="J20" s="4"/>
    </row>
    <row r="21" customFormat="false" ht="23.85" hidden="false" customHeight="false" outlineLevel="0" collapsed="false">
      <c r="A21" s="3" t="s">
        <v>67</v>
      </c>
      <c r="B21" s="3" t="s">
        <v>57</v>
      </c>
      <c r="C21" s="3" t="s">
        <v>58</v>
      </c>
      <c r="D21" s="3" t="s">
        <v>68</v>
      </c>
      <c r="E21" s="3" t="s">
        <v>60</v>
      </c>
      <c r="F21" s="3" t="s">
        <v>61</v>
      </c>
      <c r="G21" s="3" t="s">
        <v>62</v>
      </c>
      <c r="H21" s="4" t="s">
        <v>18</v>
      </c>
      <c r="I21" s="4"/>
      <c r="J21" s="4"/>
    </row>
    <row r="22" customFormat="false" ht="23.85" hidden="false" customHeight="false" outlineLevel="0" collapsed="false">
      <c r="A22" s="3" t="s">
        <v>69</v>
      </c>
      <c r="B22" s="3" t="s">
        <v>57</v>
      </c>
      <c r="C22" s="3" t="s">
        <v>58</v>
      </c>
      <c r="D22" s="3" t="s">
        <v>70</v>
      </c>
      <c r="E22" s="3" t="s">
        <v>60</v>
      </c>
      <c r="F22" s="3" t="s">
        <v>61</v>
      </c>
      <c r="G22" s="3" t="s">
        <v>62</v>
      </c>
      <c r="H22" s="4" t="s">
        <v>18</v>
      </c>
      <c r="I22" s="4"/>
      <c r="J22" s="4"/>
    </row>
    <row r="23" customFormat="false" ht="23.85" hidden="false" customHeight="false" outlineLevel="0" collapsed="false">
      <c r="A23" s="3" t="s">
        <v>71</v>
      </c>
      <c r="B23" s="3" t="s">
        <v>72</v>
      </c>
      <c r="C23" s="3" t="s">
        <v>58</v>
      </c>
      <c r="D23" s="3" t="s">
        <v>73</v>
      </c>
      <c r="E23" s="3" t="s">
        <v>74</v>
      </c>
      <c r="F23" s="3" t="s">
        <v>75</v>
      </c>
      <c r="G23" s="3" t="s">
        <v>62</v>
      </c>
      <c r="H23" s="4" t="s">
        <v>18</v>
      </c>
      <c r="I23" s="4"/>
      <c r="J23" s="4"/>
    </row>
    <row r="24" customFormat="false" ht="23.85" hidden="false" customHeight="false" outlineLevel="0" collapsed="false">
      <c r="A24" s="3" t="s">
        <v>76</v>
      </c>
      <c r="B24" s="3" t="s">
        <v>72</v>
      </c>
      <c r="C24" s="3" t="s">
        <v>58</v>
      </c>
      <c r="D24" s="3" t="s">
        <v>77</v>
      </c>
      <c r="E24" s="3" t="s">
        <v>74</v>
      </c>
      <c r="F24" s="3" t="s">
        <v>75</v>
      </c>
      <c r="G24" s="3" t="s">
        <v>62</v>
      </c>
      <c r="H24" s="4" t="s">
        <v>18</v>
      </c>
      <c r="I24" s="4"/>
      <c r="J24" s="4"/>
    </row>
    <row r="25" customFormat="false" ht="23.85" hidden="false" customHeight="false" outlineLevel="0" collapsed="false">
      <c r="A25" s="3" t="s">
        <v>78</v>
      </c>
      <c r="B25" s="3" t="s">
        <v>72</v>
      </c>
      <c r="C25" s="3" t="s">
        <v>58</v>
      </c>
      <c r="D25" s="3" t="s">
        <v>66</v>
      </c>
      <c r="E25" s="3" t="s">
        <v>74</v>
      </c>
      <c r="F25" s="3" t="s">
        <v>75</v>
      </c>
      <c r="G25" s="3" t="s">
        <v>62</v>
      </c>
      <c r="H25" s="4" t="s">
        <v>18</v>
      </c>
      <c r="I25" s="4"/>
      <c r="J25" s="4"/>
    </row>
    <row r="26" customFormat="false" ht="23.85" hidden="false" customHeight="false" outlineLevel="0" collapsed="false">
      <c r="A26" s="3" t="s">
        <v>79</v>
      </c>
      <c r="B26" s="3" t="s">
        <v>72</v>
      </c>
      <c r="C26" s="3" t="s">
        <v>58</v>
      </c>
      <c r="D26" s="3" t="s">
        <v>80</v>
      </c>
      <c r="E26" s="3" t="s">
        <v>74</v>
      </c>
      <c r="F26" s="3" t="s">
        <v>75</v>
      </c>
      <c r="G26" s="3" t="s">
        <v>62</v>
      </c>
      <c r="H26" s="4" t="s">
        <v>18</v>
      </c>
      <c r="I26" s="4"/>
      <c r="J26" s="4"/>
    </row>
    <row r="27" customFormat="false" ht="23.85" hidden="false" customHeight="false" outlineLevel="0" collapsed="false">
      <c r="A27" s="3" t="s">
        <v>81</v>
      </c>
      <c r="B27" s="3" t="s">
        <v>72</v>
      </c>
      <c r="C27" s="3" t="s">
        <v>58</v>
      </c>
      <c r="D27" s="3" t="s">
        <v>82</v>
      </c>
      <c r="E27" s="3" t="s">
        <v>74</v>
      </c>
      <c r="F27" s="3" t="s">
        <v>75</v>
      </c>
      <c r="G27" s="3" t="s">
        <v>62</v>
      </c>
      <c r="H27" s="4" t="s">
        <v>18</v>
      </c>
      <c r="I27" s="4"/>
      <c r="J27" s="4"/>
    </row>
    <row r="28" customFormat="false" ht="15" hidden="false" customHeight="false" outlineLevel="0" collapsed="false">
      <c r="A28" s="3" t="s">
        <v>83</v>
      </c>
      <c r="B28" s="3" t="s">
        <v>84</v>
      </c>
      <c r="C28" s="3" t="s">
        <v>58</v>
      </c>
      <c r="D28" s="3" t="s">
        <v>85</v>
      </c>
      <c r="E28" s="3" t="s">
        <v>86</v>
      </c>
      <c r="F28" s="3" t="s">
        <v>87</v>
      </c>
      <c r="G28" s="3" t="s">
        <v>88</v>
      </c>
      <c r="H28" s="4" t="s">
        <v>18</v>
      </c>
      <c r="I28" s="4"/>
      <c r="J28" s="4"/>
    </row>
    <row r="29" customFormat="false" ht="15" hidden="false" customHeight="false" outlineLevel="0" collapsed="false">
      <c r="A29" s="3" t="s">
        <v>89</v>
      </c>
      <c r="B29" s="3" t="s">
        <v>84</v>
      </c>
      <c r="C29" s="3" t="s">
        <v>58</v>
      </c>
      <c r="D29" s="3" t="s">
        <v>90</v>
      </c>
      <c r="E29" s="3" t="s">
        <v>86</v>
      </c>
      <c r="F29" s="3" t="s">
        <v>87</v>
      </c>
      <c r="G29" s="3" t="s">
        <v>88</v>
      </c>
      <c r="H29" s="4" t="s">
        <v>18</v>
      </c>
      <c r="I29" s="4"/>
      <c r="J29" s="4"/>
    </row>
    <row r="30" customFormat="false" ht="15" hidden="false" customHeight="false" outlineLevel="0" collapsed="false">
      <c r="A30" s="3" t="s">
        <v>91</v>
      </c>
      <c r="B30" s="3" t="s">
        <v>84</v>
      </c>
      <c r="C30" s="3" t="s">
        <v>58</v>
      </c>
      <c r="D30" s="3" t="s">
        <v>92</v>
      </c>
      <c r="E30" s="3" t="s">
        <v>86</v>
      </c>
      <c r="F30" s="3" t="s">
        <v>87</v>
      </c>
      <c r="G30" s="3" t="s">
        <v>88</v>
      </c>
      <c r="H30" s="4" t="s">
        <v>18</v>
      </c>
      <c r="I30" s="4"/>
      <c r="J30" s="4"/>
    </row>
    <row r="31" customFormat="false" ht="23.85" hidden="false" customHeight="false" outlineLevel="0" collapsed="false">
      <c r="A31" s="3" t="s">
        <v>93</v>
      </c>
      <c r="B31" s="3" t="s">
        <v>84</v>
      </c>
      <c r="C31" s="3" t="s">
        <v>58</v>
      </c>
      <c r="D31" s="3" t="s">
        <v>94</v>
      </c>
      <c r="E31" s="3" t="s">
        <v>86</v>
      </c>
      <c r="F31" s="3" t="s">
        <v>87</v>
      </c>
      <c r="G31" s="3" t="s">
        <v>88</v>
      </c>
      <c r="H31" s="4" t="s">
        <v>18</v>
      </c>
      <c r="I31" s="4"/>
      <c r="J31" s="4"/>
    </row>
    <row r="32" customFormat="false" ht="15" hidden="false" customHeight="false" outlineLevel="0" collapsed="false">
      <c r="A32" s="3" t="s">
        <v>95</v>
      </c>
      <c r="B32" s="3" t="s">
        <v>84</v>
      </c>
      <c r="C32" s="3" t="s">
        <v>58</v>
      </c>
      <c r="D32" s="3" t="s">
        <v>96</v>
      </c>
      <c r="E32" s="3" t="s">
        <v>86</v>
      </c>
      <c r="F32" s="3" t="s">
        <v>87</v>
      </c>
      <c r="G32" s="3" t="s">
        <v>88</v>
      </c>
      <c r="H32" s="4" t="s">
        <v>18</v>
      </c>
      <c r="I32" s="4"/>
      <c r="J32" s="4"/>
    </row>
    <row r="33" customFormat="false" ht="15" hidden="false" customHeight="false" outlineLevel="0" collapsed="false">
      <c r="A33" s="3" t="s">
        <v>97</v>
      </c>
      <c r="B33" s="3" t="s">
        <v>98</v>
      </c>
      <c r="C33" s="3" t="s">
        <v>99</v>
      </c>
      <c r="D33" s="3" t="s">
        <v>100</v>
      </c>
      <c r="E33" s="3" t="s">
        <v>101</v>
      </c>
      <c r="F33" s="3" t="s">
        <v>102</v>
      </c>
      <c r="G33" s="3" t="s">
        <v>103</v>
      </c>
      <c r="H33" s="4" t="s">
        <v>18</v>
      </c>
      <c r="I33" s="4"/>
      <c r="J33" s="4"/>
    </row>
    <row r="34" customFormat="false" ht="23.85" hidden="false" customHeight="false" outlineLevel="0" collapsed="false">
      <c r="A34" s="3" t="s">
        <v>104</v>
      </c>
      <c r="B34" s="3" t="s">
        <v>98</v>
      </c>
      <c r="C34" s="3" t="s">
        <v>99</v>
      </c>
      <c r="D34" s="3" t="s">
        <v>105</v>
      </c>
      <c r="E34" s="3" t="s">
        <v>101</v>
      </c>
      <c r="F34" s="3" t="s">
        <v>102</v>
      </c>
      <c r="G34" s="3" t="s">
        <v>103</v>
      </c>
      <c r="H34" s="4" t="s">
        <v>18</v>
      </c>
      <c r="I34" s="4"/>
      <c r="J34" s="4"/>
    </row>
    <row r="35" customFormat="false" ht="23.85" hidden="false" customHeight="false" outlineLevel="0" collapsed="false">
      <c r="A35" s="3" t="s">
        <v>106</v>
      </c>
      <c r="B35" s="3" t="s">
        <v>98</v>
      </c>
      <c r="C35" s="3" t="s">
        <v>99</v>
      </c>
      <c r="D35" s="3" t="s">
        <v>107</v>
      </c>
      <c r="E35" s="3" t="s">
        <v>101</v>
      </c>
      <c r="F35" s="3" t="s">
        <v>102</v>
      </c>
      <c r="G35" s="3" t="s">
        <v>103</v>
      </c>
      <c r="H35" s="4" t="s">
        <v>18</v>
      </c>
      <c r="I35" s="4"/>
      <c r="J35" s="4"/>
    </row>
    <row r="36" customFormat="false" ht="23.85" hidden="false" customHeight="false" outlineLevel="0" collapsed="false">
      <c r="A36" s="3" t="s">
        <v>108</v>
      </c>
      <c r="B36" s="3" t="s">
        <v>98</v>
      </c>
      <c r="C36" s="3" t="s">
        <v>99</v>
      </c>
      <c r="D36" s="3" t="s">
        <v>109</v>
      </c>
      <c r="E36" s="3" t="s">
        <v>101</v>
      </c>
      <c r="F36" s="3" t="s">
        <v>102</v>
      </c>
      <c r="G36" s="3" t="s">
        <v>103</v>
      </c>
      <c r="H36" s="4" t="s">
        <v>18</v>
      </c>
      <c r="I36" s="4"/>
      <c r="J36" s="4"/>
    </row>
    <row r="37" customFormat="false" ht="23.85" hidden="false" customHeight="false" outlineLevel="0" collapsed="false">
      <c r="A37" s="3" t="s">
        <v>110</v>
      </c>
      <c r="B37" s="3" t="s">
        <v>111</v>
      </c>
      <c r="C37" s="3" t="s">
        <v>112</v>
      </c>
      <c r="D37" s="3" t="s">
        <v>113</v>
      </c>
      <c r="E37" s="3" t="s">
        <v>114</v>
      </c>
      <c r="F37" s="3" t="s">
        <v>115</v>
      </c>
      <c r="G37" s="3" t="s">
        <v>116</v>
      </c>
      <c r="H37" s="4" t="s">
        <v>18</v>
      </c>
      <c r="I37" s="4"/>
      <c r="J37" s="4"/>
    </row>
    <row r="38" customFormat="false" ht="23.85" hidden="false" customHeight="false" outlineLevel="0" collapsed="false">
      <c r="A38" s="3" t="s">
        <v>117</v>
      </c>
      <c r="B38" s="3" t="s">
        <v>111</v>
      </c>
      <c r="C38" s="3" t="s">
        <v>112</v>
      </c>
      <c r="D38" s="3" t="s">
        <v>118</v>
      </c>
      <c r="E38" s="3" t="s">
        <v>114</v>
      </c>
      <c r="F38" s="3" t="s">
        <v>115</v>
      </c>
      <c r="G38" s="3" t="s">
        <v>116</v>
      </c>
      <c r="H38" s="4" t="s">
        <v>18</v>
      </c>
      <c r="I38" s="4"/>
      <c r="J38" s="4"/>
    </row>
    <row r="39" customFormat="false" ht="23.85" hidden="false" customHeight="false" outlineLevel="0" collapsed="false">
      <c r="A39" s="3" t="s">
        <v>119</v>
      </c>
      <c r="B39" s="3" t="s">
        <v>111</v>
      </c>
      <c r="C39" s="3" t="s">
        <v>112</v>
      </c>
      <c r="D39" s="3" t="s">
        <v>120</v>
      </c>
      <c r="E39" s="3" t="s">
        <v>114</v>
      </c>
      <c r="F39" s="3" t="s">
        <v>115</v>
      </c>
      <c r="G39" s="3" t="s">
        <v>116</v>
      </c>
      <c r="H39" s="4" t="s">
        <v>18</v>
      </c>
      <c r="I39" s="4"/>
      <c r="J39" s="4"/>
    </row>
    <row r="40" customFormat="false" ht="23.85" hidden="false" customHeight="false" outlineLevel="0" collapsed="false">
      <c r="A40" s="3" t="s">
        <v>121</v>
      </c>
      <c r="B40" s="3" t="s">
        <v>111</v>
      </c>
      <c r="C40" s="3" t="s">
        <v>112</v>
      </c>
      <c r="D40" s="3" t="s">
        <v>122</v>
      </c>
      <c r="E40" s="3" t="s">
        <v>114</v>
      </c>
      <c r="F40" s="3" t="s">
        <v>115</v>
      </c>
      <c r="G40" s="3" t="s">
        <v>116</v>
      </c>
      <c r="H40" s="4" t="s">
        <v>18</v>
      </c>
      <c r="I40" s="4"/>
      <c r="J40" s="4"/>
    </row>
    <row r="41" customFormat="false" ht="23.85" hidden="false" customHeight="false" outlineLevel="0" collapsed="false">
      <c r="A41" s="3" t="s">
        <v>123</v>
      </c>
      <c r="B41" s="3" t="s">
        <v>111</v>
      </c>
      <c r="C41" s="3" t="s">
        <v>112</v>
      </c>
      <c r="D41" s="3" t="s">
        <v>124</v>
      </c>
      <c r="E41" s="3" t="s">
        <v>114</v>
      </c>
      <c r="F41" s="3" t="s">
        <v>115</v>
      </c>
      <c r="G41" s="3" t="s">
        <v>116</v>
      </c>
      <c r="H41" s="4" t="s">
        <v>18</v>
      </c>
      <c r="I41" s="4"/>
      <c r="J41" s="4"/>
    </row>
    <row r="42" customFormat="false" ht="23.85" hidden="false" customHeight="false" outlineLevel="0" collapsed="false">
      <c r="A42" s="3" t="s">
        <v>125</v>
      </c>
      <c r="B42" s="3" t="s">
        <v>126</v>
      </c>
      <c r="C42" s="3" t="s">
        <v>99</v>
      </c>
      <c r="D42" s="3" t="s">
        <v>127</v>
      </c>
      <c r="E42" s="3" t="s">
        <v>101</v>
      </c>
      <c r="F42" s="3" t="s">
        <v>128</v>
      </c>
      <c r="G42" s="3" t="s">
        <v>129</v>
      </c>
      <c r="H42" s="4" t="s">
        <v>18</v>
      </c>
      <c r="I42" s="4"/>
      <c r="J42" s="4"/>
    </row>
    <row r="43" customFormat="false" ht="23.85" hidden="false" customHeight="false" outlineLevel="0" collapsed="false">
      <c r="A43" s="3" t="s">
        <v>130</v>
      </c>
      <c r="B43" s="3" t="s">
        <v>126</v>
      </c>
      <c r="C43" s="3" t="s">
        <v>99</v>
      </c>
      <c r="D43" s="3" t="s">
        <v>131</v>
      </c>
      <c r="E43" s="3" t="s">
        <v>101</v>
      </c>
      <c r="F43" s="3" t="s">
        <v>128</v>
      </c>
      <c r="G43" s="3" t="s">
        <v>129</v>
      </c>
      <c r="H43" s="4" t="s">
        <v>18</v>
      </c>
      <c r="I43" s="4"/>
      <c r="J43" s="4"/>
    </row>
    <row r="44" customFormat="false" ht="23.85" hidden="false" customHeight="false" outlineLevel="0" collapsed="false">
      <c r="A44" s="3" t="s">
        <v>132</v>
      </c>
      <c r="B44" s="3" t="s">
        <v>126</v>
      </c>
      <c r="C44" s="3" t="s">
        <v>99</v>
      </c>
      <c r="D44" s="3" t="s">
        <v>133</v>
      </c>
      <c r="E44" s="3" t="s">
        <v>101</v>
      </c>
      <c r="F44" s="3" t="s">
        <v>128</v>
      </c>
      <c r="G44" s="3" t="s">
        <v>129</v>
      </c>
      <c r="H44" s="4" t="s">
        <v>18</v>
      </c>
      <c r="I44" s="4"/>
      <c r="J44" s="4"/>
    </row>
    <row r="45" customFormat="false" ht="23.85" hidden="false" customHeight="false" outlineLevel="0" collapsed="false">
      <c r="A45" s="3" t="s">
        <v>134</v>
      </c>
      <c r="B45" s="3" t="s">
        <v>126</v>
      </c>
      <c r="C45" s="3" t="s">
        <v>99</v>
      </c>
      <c r="D45" s="3" t="s">
        <v>135</v>
      </c>
      <c r="E45" s="3" t="s">
        <v>101</v>
      </c>
      <c r="F45" s="3" t="s">
        <v>128</v>
      </c>
      <c r="G45" s="3" t="s">
        <v>129</v>
      </c>
      <c r="H45" s="4" t="s">
        <v>18</v>
      </c>
      <c r="I45" s="4"/>
      <c r="J45" s="4"/>
    </row>
    <row r="46" customFormat="false" ht="23.85" hidden="false" customHeight="false" outlineLevel="0" collapsed="false">
      <c r="A46" s="3" t="s">
        <v>136</v>
      </c>
      <c r="B46" s="3" t="s">
        <v>126</v>
      </c>
      <c r="C46" s="3" t="s">
        <v>99</v>
      </c>
      <c r="D46" s="3" t="s">
        <v>137</v>
      </c>
      <c r="E46" s="3" t="s">
        <v>101</v>
      </c>
      <c r="F46" s="3" t="s">
        <v>128</v>
      </c>
      <c r="G46" s="3" t="s">
        <v>129</v>
      </c>
      <c r="H46" s="4" t="s">
        <v>18</v>
      </c>
      <c r="I46" s="4"/>
      <c r="J46" s="4"/>
    </row>
    <row r="47" customFormat="false" ht="23.85" hidden="false" customHeight="false" outlineLevel="0" collapsed="false">
      <c r="A47" s="3" t="s">
        <v>138</v>
      </c>
      <c r="B47" s="3" t="s">
        <v>139</v>
      </c>
      <c r="C47" s="3" t="s">
        <v>13</v>
      </c>
      <c r="D47" s="3" t="s">
        <v>140</v>
      </c>
      <c r="E47" s="3" t="s">
        <v>16</v>
      </c>
      <c r="F47" s="3" t="s">
        <v>115</v>
      </c>
      <c r="G47" s="3" t="s">
        <v>141</v>
      </c>
      <c r="H47" s="4" t="s">
        <v>18</v>
      </c>
      <c r="I47" s="4"/>
      <c r="J47" s="4"/>
    </row>
    <row r="48" customFormat="false" ht="23.85" hidden="false" customHeight="false" outlineLevel="0" collapsed="false">
      <c r="A48" s="3" t="s">
        <v>142</v>
      </c>
      <c r="B48" s="3" t="s">
        <v>139</v>
      </c>
      <c r="C48" s="3" t="s">
        <v>13</v>
      </c>
      <c r="D48" s="3" t="s">
        <v>143</v>
      </c>
      <c r="E48" s="3" t="s">
        <v>16</v>
      </c>
      <c r="F48" s="3" t="s">
        <v>115</v>
      </c>
      <c r="G48" s="3" t="s">
        <v>141</v>
      </c>
      <c r="H48" s="4" t="s">
        <v>18</v>
      </c>
      <c r="I48" s="4"/>
      <c r="J48" s="4"/>
    </row>
    <row r="49" customFormat="false" ht="23.85" hidden="false" customHeight="false" outlineLevel="0" collapsed="false">
      <c r="A49" s="3" t="s">
        <v>144</v>
      </c>
      <c r="B49" s="3" t="s">
        <v>139</v>
      </c>
      <c r="C49" s="3" t="s">
        <v>13</v>
      </c>
      <c r="D49" s="3" t="s">
        <v>145</v>
      </c>
      <c r="E49" s="3" t="s">
        <v>16</v>
      </c>
      <c r="F49" s="3" t="s">
        <v>115</v>
      </c>
      <c r="G49" s="3" t="s">
        <v>141</v>
      </c>
      <c r="H49" s="4" t="s">
        <v>18</v>
      </c>
      <c r="I49" s="4"/>
      <c r="J49" s="4"/>
    </row>
    <row r="50" customFormat="false" ht="23.85" hidden="false" customHeight="false" outlineLevel="0" collapsed="false">
      <c r="A50" s="3" t="s">
        <v>146</v>
      </c>
      <c r="B50" s="3" t="s">
        <v>139</v>
      </c>
      <c r="C50" s="3" t="s">
        <v>13</v>
      </c>
      <c r="D50" s="3" t="s">
        <v>147</v>
      </c>
      <c r="E50" s="3" t="s">
        <v>16</v>
      </c>
      <c r="F50" s="3" t="s">
        <v>115</v>
      </c>
      <c r="G50" s="3" t="s">
        <v>141</v>
      </c>
      <c r="H50" s="4" t="s">
        <v>18</v>
      </c>
      <c r="I50" s="4"/>
      <c r="J50" s="4"/>
    </row>
  </sheetData>
  <autoFilter ref="A2:J50"/>
  <mergeCells count="1">
    <mergeCell ref="A1:J1"/>
  </mergeCells>
  <dataValidations count="1">
    <dataValidation allowBlank="true" errorStyle="stop" operator="between" showDropDown="false" showErrorMessage="false" showInputMessage="false" sqref="H3:H50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6" min="4" style="0" width="12"/>
  </cols>
  <sheetData>
    <row r="1" customFormat="false" ht="15" hidden="false" customHeight="false" outlineLevel="0" collapsed="false">
      <c r="A1" s="5" t="s">
        <v>148</v>
      </c>
      <c r="B1" s="5" t="s">
        <v>2</v>
      </c>
      <c r="C1" s="5" t="s">
        <v>149</v>
      </c>
      <c r="D1" s="5" t="s">
        <v>150</v>
      </c>
      <c r="E1" s="5" t="s">
        <v>151</v>
      </c>
      <c r="F1" s="5" t="s">
        <v>152</v>
      </c>
    </row>
    <row r="2" customFormat="false" ht="15" hidden="false" customHeight="false" outlineLevel="0" collapsed="false">
      <c r="A2" s="6" t="s">
        <v>153</v>
      </c>
      <c r="B2" s="6" t="s">
        <v>12</v>
      </c>
      <c r="C2" s="6" t="s">
        <v>154</v>
      </c>
      <c r="D2" s="6" t="n">
        <f aca="false">COUNTIF('Step Tracker'!$A$3:$A$50,"P0.*")</f>
        <v>5</v>
      </c>
      <c r="E2" s="6" t="n">
        <f aca="false">COUNTIFS('Step Tracker'!$A$3:$A$50,"P0.*",'Step Tracker'!$H$3:$H$50,"Done")</f>
        <v>0</v>
      </c>
      <c r="F2" s="7" t="n">
        <f aca="false">IFERROR(E2/D2,0)</f>
        <v>0</v>
      </c>
    </row>
    <row r="3" customFormat="false" ht="15" hidden="false" customHeight="false" outlineLevel="0" collapsed="false">
      <c r="A3" s="6" t="s">
        <v>155</v>
      </c>
      <c r="B3" s="6" t="s">
        <v>28</v>
      </c>
      <c r="C3" s="6" t="s">
        <v>156</v>
      </c>
      <c r="D3" s="6" t="n">
        <f aca="false">COUNTIF('Step Tracker'!$A$3:$A$50,"P1.*")</f>
        <v>5</v>
      </c>
      <c r="E3" s="6" t="n">
        <f aca="false">COUNTIFS('Step Tracker'!$A$3:$A$50,"P1.*",'Step Tracker'!$H$3:$H$50,"Done")</f>
        <v>0</v>
      </c>
      <c r="F3" s="7" t="n">
        <f aca="false">IFERROR(E3/D3,0)</f>
        <v>0</v>
      </c>
    </row>
    <row r="4" customFormat="false" ht="15" hidden="false" customHeight="false" outlineLevel="0" collapsed="false">
      <c r="A4" s="6" t="s">
        <v>157</v>
      </c>
      <c r="B4" s="6" t="s">
        <v>42</v>
      </c>
      <c r="C4" s="6" t="s">
        <v>158</v>
      </c>
      <c r="D4" s="6" t="n">
        <f aca="false">COUNTIF('Step Tracker'!$A$3:$A$50,"P2.*")</f>
        <v>5</v>
      </c>
      <c r="E4" s="6" t="n">
        <f aca="false">COUNTIFS('Step Tracker'!$A$3:$A$50,"P2.*",'Step Tracker'!$H$3:$H$50,"Done")</f>
        <v>0</v>
      </c>
      <c r="F4" s="7" t="n">
        <f aca="false">IFERROR(E4/D4,0)</f>
        <v>0</v>
      </c>
    </row>
    <row r="5" customFormat="false" ht="15" hidden="false" customHeight="false" outlineLevel="0" collapsed="false">
      <c r="A5" s="6" t="s">
        <v>159</v>
      </c>
      <c r="B5" s="6" t="s">
        <v>57</v>
      </c>
      <c r="C5" s="6" t="s">
        <v>160</v>
      </c>
      <c r="D5" s="6" t="n">
        <f aca="false">COUNTIF('Step Tracker'!$A$3:$A$50,"P3.*")</f>
        <v>5</v>
      </c>
      <c r="E5" s="6" t="n">
        <f aca="false">COUNTIFS('Step Tracker'!$A$3:$A$50,"P3.*",'Step Tracker'!$H$3:$H$50,"Done")</f>
        <v>0</v>
      </c>
      <c r="F5" s="7" t="n">
        <f aca="false">IFERROR(E5/D5,0)</f>
        <v>0</v>
      </c>
    </row>
    <row r="6" customFormat="false" ht="15" hidden="false" customHeight="false" outlineLevel="0" collapsed="false">
      <c r="A6" s="6" t="s">
        <v>161</v>
      </c>
      <c r="B6" s="6" t="s">
        <v>72</v>
      </c>
      <c r="C6" s="6" t="s">
        <v>162</v>
      </c>
      <c r="D6" s="6" t="n">
        <f aca="false">COUNTIF('Step Tracker'!$A$3:$A$50,"P4.*")</f>
        <v>5</v>
      </c>
      <c r="E6" s="6" t="n">
        <f aca="false">COUNTIFS('Step Tracker'!$A$3:$A$50,"P4.*",'Step Tracker'!$H$3:$H$50,"Done")</f>
        <v>0</v>
      </c>
      <c r="F6" s="7" t="n">
        <f aca="false">IFERROR(E6/D6,0)</f>
        <v>0</v>
      </c>
    </row>
    <row r="7" customFormat="false" ht="15" hidden="false" customHeight="false" outlineLevel="0" collapsed="false">
      <c r="A7" s="6" t="s">
        <v>163</v>
      </c>
      <c r="B7" s="6" t="s">
        <v>84</v>
      </c>
      <c r="C7" s="6" t="s">
        <v>164</v>
      </c>
      <c r="D7" s="6" t="n">
        <f aca="false">COUNTIF('Step Tracker'!$A$3:$A$50,"P5.*")</f>
        <v>5</v>
      </c>
      <c r="E7" s="6" t="n">
        <f aca="false">COUNTIFS('Step Tracker'!$A$3:$A$50,"P5.*",'Step Tracker'!$H$3:$H$50,"Done")</f>
        <v>0</v>
      </c>
      <c r="F7" s="7" t="n">
        <f aca="false">IFERROR(E7/D7,0)</f>
        <v>0</v>
      </c>
    </row>
    <row r="8" customFormat="false" ht="15" hidden="false" customHeight="false" outlineLevel="0" collapsed="false">
      <c r="A8" s="6" t="s">
        <v>165</v>
      </c>
      <c r="B8" s="6" t="s">
        <v>98</v>
      </c>
      <c r="C8" s="6" t="s">
        <v>166</v>
      </c>
      <c r="D8" s="6" t="n">
        <f aca="false">COUNTIF('Step Tracker'!$A$3:$A$50,"P6.*")</f>
        <v>4</v>
      </c>
      <c r="E8" s="6" t="n">
        <f aca="false">COUNTIFS('Step Tracker'!$A$3:$A$50,"P6.*",'Step Tracker'!$H$3:$H$50,"Done")</f>
        <v>0</v>
      </c>
      <c r="F8" s="7" t="n">
        <f aca="false">IFERROR(E8/D8,0)</f>
        <v>0</v>
      </c>
    </row>
    <row r="9" customFormat="false" ht="15" hidden="false" customHeight="false" outlineLevel="0" collapsed="false">
      <c r="A9" s="6" t="s">
        <v>167</v>
      </c>
      <c r="B9" s="6" t="s">
        <v>111</v>
      </c>
      <c r="C9" s="6" t="s">
        <v>168</v>
      </c>
      <c r="D9" s="6" t="n">
        <f aca="false">COUNTIF('Step Tracker'!$A$3:$A$50,"P7.*")</f>
        <v>5</v>
      </c>
      <c r="E9" s="6" t="n">
        <f aca="false">COUNTIFS('Step Tracker'!$A$3:$A$50,"P7.*",'Step Tracker'!$H$3:$H$50,"Done")</f>
        <v>0</v>
      </c>
      <c r="F9" s="7" t="n">
        <f aca="false">IFERROR(E9/D9,0)</f>
        <v>0</v>
      </c>
    </row>
    <row r="10" customFormat="false" ht="15" hidden="false" customHeight="false" outlineLevel="0" collapsed="false">
      <c r="A10" s="6" t="s">
        <v>169</v>
      </c>
      <c r="B10" s="6" t="s">
        <v>126</v>
      </c>
      <c r="C10" s="6" t="s">
        <v>170</v>
      </c>
      <c r="D10" s="6" t="n">
        <f aca="false">COUNTIF('Step Tracker'!$A$3:$A$50,"P8.*")</f>
        <v>5</v>
      </c>
      <c r="E10" s="6" t="n">
        <f aca="false">COUNTIFS('Step Tracker'!$A$3:$A$50,"P8.*",'Step Tracker'!$H$3:$H$50,"Done")</f>
        <v>0</v>
      </c>
      <c r="F10" s="7" t="n">
        <f aca="false">IFERROR(E10/D10,0)</f>
        <v>0</v>
      </c>
    </row>
    <row r="11" customFormat="false" ht="15" hidden="false" customHeight="false" outlineLevel="0" collapsed="false">
      <c r="A11" s="6" t="s">
        <v>171</v>
      </c>
      <c r="B11" s="6" t="s">
        <v>139</v>
      </c>
      <c r="C11" s="6" t="s">
        <v>172</v>
      </c>
      <c r="D11" s="6" t="n">
        <f aca="false">COUNTIF('Step Tracker'!$A$3:$A$50,"P9.*")</f>
        <v>4</v>
      </c>
      <c r="E11" s="6" t="n">
        <f aca="false">COUNTIFS('Step Tracker'!$A$3:$A$50,"P9.*",'Step Tracker'!$H$3:$H$50,"Done")</f>
        <v>0</v>
      </c>
      <c r="F11" s="7" t="n">
        <f aca="false">IFERROR(E11/D11,0)</f>
        <v>0</v>
      </c>
    </row>
    <row r="12" customFormat="false" ht="15" hidden="false" customHeight="false" outlineLevel="0" collapsed="false">
      <c r="A12" s="6"/>
      <c r="B12" s="6" t="s">
        <v>173</v>
      </c>
      <c r="C12" s="6"/>
      <c r="D12" s="6" t="n">
        <f aca="false">SUM(D2:D11)</f>
        <v>48</v>
      </c>
      <c r="E12" s="6" t="n">
        <f aca="false">SUM(E2:E11)</f>
        <v>0</v>
      </c>
      <c r="F12" s="7" t="n">
        <f aca="false">IFERROR(E12/D12,0)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6" min="4" style="0" width="12"/>
  </cols>
  <sheetData>
    <row r="1" customFormat="false" ht="15" hidden="false" customHeight="false" outlineLevel="0" collapsed="false">
      <c r="A1" s="5" t="s">
        <v>174</v>
      </c>
      <c r="B1" s="5" t="s">
        <v>175</v>
      </c>
      <c r="C1" s="5" t="s">
        <v>9</v>
      </c>
      <c r="D1" s="5" t="s">
        <v>8</v>
      </c>
    </row>
    <row r="2" customFormat="false" ht="23.85" hidden="false" customHeight="false" outlineLevel="0" collapsed="false">
      <c r="A2" s="6" t="s">
        <v>86</v>
      </c>
      <c r="B2" s="6" t="s">
        <v>176</v>
      </c>
      <c r="C2" s="6"/>
      <c r="D2" s="6"/>
    </row>
    <row r="3" customFormat="false" ht="23.85" hidden="false" customHeight="false" outlineLevel="0" collapsed="false">
      <c r="A3" s="6" t="s">
        <v>177</v>
      </c>
      <c r="B3" s="6" t="s">
        <v>178</v>
      </c>
      <c r="C3" s="6"/>
      <c r="D3" s="6"/>
    </row>
    <row r="4" customFormat="false" ht="35.05" hidden="false" customHeight="false" outlineLevel="0" collapsed="false">
      <c r="A4" s="6" t="s">
        <v>179</v>
      </c>
      <c r="B4" s="6" t="s">
        <v>180</v>
      </c>
      <c r="C4" s="6"/>
      <c r="D4" s="6"/>
    </row>
    <row r="5" customFormat="false" ht="35.05" hidden="false" customHeight="false" outlineLevel="0" collapsed="false">
      <c r="A5" s="6" t="s">
        <v>181</v>
      </c>
      <c r="B5" s="6" t="s">
        <v>182</v>
      </c>
      <c r="C5" s="6"/>
      <c r="D5" s="6"/>
    </row>
    <row r="6" customFormat="false" ht="23.85" hidden="false" customHeight="false" outlineLevel="0" collapsed="false">
      <c r="A6" s="6" t="s">
        <v>183</v>
      </c>
      <c r="B6" s="6" t="s">
        <v>184</v>
      </c>
      <c r="C6" s="6"/>
      <c r="D6" s="6"/>
    </row>
    <row r="7" customFormat="false" ht="23.85" hidden="false" customHeight="false" outlineLevel="0" collapsed="false">
      <c r="A7" s="6" t="s">
        <v>185</v>
      </c>
      <c r="B7" s="6" t="s">
        <v>186</v>
      </c>
      <c r="C7" s="6"/>
      <c r="D7" s="6"/>
    </row>
    <row r="8" customFormat="false" ht="35.05" hidden="false" customHeight="false" outlineLevel="0" collapsed="false">
      <c r="A8" s="6" t="s">
        <v>187</v>
      </c>
      <c r="B8" s="6" t="s">
        <v>188</v>
      </c>
      <c r="C8" s="6"/>
      <c r="D8" s="6"/>
    </row>
    <row r="9" customFormat="false" ht="35.05" hidden="false" customHeight="false" outlineLevel="0" collapsed="false">
      <c r="A9" s="6" t="s">
        <v>101</v>
      </c>
      <c r="B9" s="6" t="s">
        <v>189</v>
      </c>
      <c r="C9" s="6"/>
      <c r="D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6" min="4" style="0" width="12"/>
  </cols>
  <sheetData>
    <row r="1" customFormat="false" ht="15" hidden="false" customHeight="false" outlineLevel="0" collapsed="false">
      <c r="A1" s="5" t="s">
        <v>174</v>
      </c>
      <c r="B1" s="5" t="s">
        <v>190</v>
      </c>
    </row>
    <row r="2" customFormat="false" ht="23.85" hidden="false" customHeight="false" outlineLevel="0" collapsed="false">
      <c r="A2" s="6" t="s">
        <v>191</v>
      </c>
      <c r="B2" s="6" t="s">
        <v>192</v>
      </c>
    </row>
    <row r="3" customFormat="false" ht="23.85" hidden="false" customHeight="false" outlineLevel="0" collapsed="false">
      <c r="A3" s="6" t="s">
        <v>193</v>
      </c>
      <c r="B3" s="6" t="s">
        <v>194</v>
      </c>
    </row>
    <row r="4" customFormat="false" ht="23.85" hidden="false" customHeight="false" outlineLevel="0" collapsed="false">
      <c r="A4" s="6" t="s">
        <v>87</v>
      </c>
      <c r="B4" s="6" t="s">
        <v>195</v>
      </c>
    </row>
    <row r="5" customFormat="false" ht="23.85" hidden="false" customHeight="false" outlineLevel="0" collapsed="false">
      <c r="A5" s="6" t="s">
        <v>196</v>
      </c>
      <c r="B5" s="6" t="s">
        <v>197</v>
      </c>
    </row>
    <row r="6" customFormat="false" ht="23.85" hidden="false" customHeight="false" outlineLevel="0" collapsed="false">
      <c r="A6" s="6" t="s">
        <v>198</v>
      </c>
      <c r="B6" s="6" t="s">
        <v>199</v>
      </c>
    </row>
    <row r="7" customFormat="false" ht="35.05" hidden="false" customHeight="false" outlineLevel="0" collapsed="false">
      <c r="A7" s="6" t="s">
        <v>200</v>
      </c>
      <c r="B7" s="6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6" min="4" style="0" width="12"/>
  </cols>
  <sheetData>
    <row r="1" customFormat="false" ht="15" hidden="false" customHeight="false" outlineLevel="0" collapsed="false">
      <c r="A1" s="5" t="s">
        <v>174</v>
      </c>
      <c r="B1" s="5" t="s">
        <v>202</v>
      </c>
      <c r="C1" s="5" t="s">
        <v>203</v>
      </c>
    </row>
    <row r="2" customFormat="false" ht="23.85" hidden="false" customHeight="false" outlineLevel="0" collapsed="false">
      <c r="A2" s="6" t="s">
        <v>204</v>
      </c>
      <c r="B2" s="6" t="s">
        <v>205</v>
      </c>
      <c r="C2" s="6" t="s">
        <v>206</v>
      </c>
    </row>
    <row r="3" customFormat="false" ht="23.85" hidden="false" customHeight="false" outlineLevel="0" collapsed="false">
      <c r="A3" s="6" t="s">
        <v>207</v>
      </c>
      <c r="B3" s="6" t="s">
        <v>208</v>
      </c>
      <c r="C3" s="6" t="s">
        <v>209</v>
      </c>
    </row>
    <row r="4" customFormat="false" ht="23.85" hidden="false" customHeight="false" outlineLevel="0" collapsed="false">
      <c r="A4" s="6" t="s">
        <v>210</v>
      </c>
      <c r="B4" s="6" t="s">
        <v>211</v>
      </c>
      <c r="C4" s="6" t="s">
        <v>212</v>
      </c>
    </row>
    <row r="5" customFormat="false" ht="23.85" hidden="false" customHeight="false" outlineLevel="0" collapsed="false">
      <c r="A5" s="6" t="s">
        <v>213</v>
      </c>
      <c r="B5" s="6" t="s">
        <v>214</v>
      </c>
      <c r="C5" s="6" t="s">
        <v>215</v>
      </c>
    </row>
    <row r="6" customFormat="false" ht="23.85" hidden="false" customHeight="false" outlineLevel="0" collapsed="false">
      <c r="A6" s="6" t="s">
        <v>216</v>
      </c>
      <c r="B6" s="6" t="s">
        <v>217</v>
      </c>
      <c r="C6" s="6" t="s">
        <v>218</v>
      </c>
    </row>
    <row r="7" customFormat="false" ht="23.85" hidden="false" customHeight="false" outlineLevel="0" collapsed="false">
      <c r="A7" s="6" t="s">
        <v>219</v>
      </c>
      <c r="B7" s="6" t="s">
        <v>220</v>
      </c>
      <c r="C7" s="6" t="s">
        <v>221</v>
      </c>
    </row>
    <row r="8" customFormat="false" ht="23.85" hidden="false" customHeight="false" outlineLevel="0" collapsed="false">
      <c r="A8" s="6" t="s">
        <v>222</v>
      </c>
      <c r="B8" s="6" t="s">
        <v>223</v>
      </c>
      <c r="C8" s="6" t="s">
        <v>224</v>
      </c>
    </row>
    <row r="9" customFormat="false" ht="23.85" hidden="false" customHeight="false" outlineLevel="0" collapsed="false">
      <c r="A9" s="6" t="s">
        <v>225</v>
      </c>
      <c r="B9" s="6" t="s">
        <v>226</v>
      </c>
      <c r="C9" s="6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2026-09-16T21:29:59Z</dcterms:created>
  <dc:creator>openpyxl</dc:creator>
  <dc:description/>
  <dc:language>en-US</dc:language>
  <cp:lastModifiedBy/>
  <dcterms:modified xsi:type="dcterms:W3CDTF">2026-09-16T21:29:59Z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