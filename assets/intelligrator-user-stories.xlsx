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acklog" sheetId="2" state="visible" r:id="rId4"/>
    <sheet name="Acceptance Criteria" sheetId="3" state="visible" r:id="rId5"/>
  </sheets>
  <definedNames>
    <definedName function="false" hidden="true" localSheetId="2" name="_xlnm._FilterDatabase" vbProcedure="false">'Acceptance Criteria'!$A$1:$G$207</definedName>
    <definedName function="false" hidden="true" localSheetId="1" name="_xlnm._FilterDatabase" vbProcedure="false">Backlog!$A$1:$M$50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<sst xmlns="http://schemas.openxmlformats.org/spreadsheetml/2006/main" count="1291" uniqueCount="424">
  <si>
    <t xml:space="preserve">Intelligrator — User Story Backlog</t>
  </si>
  <si>
    <t xml:space="preserve">Requester journey (MFT + API submission) and Approver journey (accept / reject)</t>
  </si>
  <si>
    <t xml:space="preserve">Version 1.0  ·  14 July 2026  ·  Boomi iPaaS, Boomi native MFT (Thru), Boomi API Management</t>
  </si>
  <si>
    <t xml:space="preserve">Totals</t>
  </si>
  <si>
    <t xml:space="preserve">Total stories</t>
  </si>
  <si>
    <t xml:space="preserve">Total story points</t>
  </si>
  <si>
    <t xml:space="preserve">Must have</t>
  </si>
  <si>
    <t xml:space="preserve">Should have</t>
  </si>
  <si>
    <t xml:space="preserve">Could have</t>
  </si>
  <si>
    <t xml:space="preserve">Must-have points</t>
  </si>
  <si>
    <t xml:space="preserve">Total acceptance criteria</t>
  </si>
  <si>
    <t xml:space="preserve">By epic</t>
  </si>
  <si>
    <t xml:space="preserve">Epic</t>
  </si>
  <si>
    <t xml:space="preserve">Name</t>
  </si>
  <si>
    <t xml:space="preserve">Primary persona</t>
  </si>
  <si>
    <t xml:space="preserve">Stories</t>
  </si>
  <si>
    <t xml:space="preserve">Points</t>
  </si>
  <si>
    <t xml:space="preserve">Must</t>
  </si>
  <si>
    <t xml:space="preserve">Should</t>
  </si>
  <si>
    <t xml:space="preserve">Could</t>
  </si>
  <si>
    <t xml:space="preserve">E1</t>
  </si>
  <si>
    <t xml:space="preserve">Portal Access &amp; Identity</t>
  </si>
  <si>
    <t xml:space="preserve">P1 / P2</t>
  </si>
  <si>
    <t xml:space="preserve">E2</t>
  </si>
  <si>
    <t xml:space="preserve">Request Initiation &amp; Guidance</t>
  </si>
  <si>
    <t xml:space="preserve">P1</t>
  </si>
  <si>
    <t xml:space="preserve">E3</t>
  </si>
  <si>
    <t xml:space="preserve">MFT Request Submission</t>
  </si>
  <si>
    <t xml:space="preserve">E4</t>
  </si>
  <si>
    <t xml:space="preserve">API Request Submission</t>
  </si>
  <si>
    <t xml:space="preserve">E5</t>
  </si>
  <si>
    <t xml:space="preserve">Track, Amend &amp; Withdraw</t>
  </si>
  <si>
    <t xml:space="preserve">E6</t>
  </si>
  <si>
    <t xml:space="preserve">Admin Access &amp; Approval Queue</t>
  </si>
  <si>
    <t xml:space="preserve">P2</t>
  </si>
  <si>
    <t xml:space="preserve">E7</t>
  </si>
  <si>
    <t xml:space="preserve">Decision: Accept / Reject</t>
  </si>
  <si>
    <t xml:space="preserve">E8</t>
  </si>
  <si>
    <t xml:space="preserve">Provisioning on Approval</t>
  </si>
  <si>
    <t xml:space="preserve">P2 / P3</t>
  </si>
  <si>
    <t xml:space="preserve">E9</t>
  </si>
  <si>
    <t xml:space="preserve">Audit, Reporting &amp; NFRs</t>
  </si>
  <si>
    <t xml:space="preserve">All</t>
  </si>
  <si>
    <t xml:space="preserve">TOTAL</t>
  </si>
  <si>
    <t xml:space="preserve">Legend / how to use</t>
  </si>
  <si>
    <t xml:space="preserve">• Yellow-filled, blue-text cells on the Backlog and Acceptance Criteria sheets are yours to fill in: Sprint, Status, Owner, Notes, Test Ref, Pass/Fail.</t>
  </si>
  <si>
    <t xml:space="preserve">• Every other cell is either source content or a formula. Do not overtype a formula — the Summary sheet recalculates from the Backlog sheet.</t>
  </si>
  <si>
    <t xml:space="preserve">• Status on the Backlog sheet is a drop-down: Not started / In refinement / Ready / In progress / In test / Done / Deferred.</t>
  </si>
  <si>
    <t xml:space="preserve">• Story IDs are stable and are the join key between the Backlog and Acceptance Criteria sheets. Do not renumber them.</t>
  </si>
  <si>
    <t xml:space="preserve">• Example row: Sprint = "Sprint 1", Status = "Ready", Owner = "A. Patel", Notes = "Depends on IdP group config".</t>
  </si>
  <si>
    <t xml:space="preserve">• Points are unmodified planning-poker estimates carried from refinement; they are inputs, not calculations.</t>
  </si>
  <si>
    <t xml:space="preserve">Story ID</t>
  </si>
  <si>
    <t xml:space="preserve">Epic Name</t>
  </si>
  <si>
    <t xml:space="preserve">Persona</t>
  </si>
  <si>
    <t xml:space="preserve">Title</t>
  </si>
  <si>
    <t xml:space="preserve">User Story</t>
  </si>
  <si>
    <t xml:space="preserve">Priority</t>
  </si>
  <si>
    <t xml:space="preserve">AC Count</t>
  </si>
  <si>
    <t xml:space="preserve">Sprint</t>
  </si>
  <si>
    <t xml:space="preserve">Status</t>
  </si>
  <si>
    <t xml:space="preserve">Owner</t>
  </si>
  <si>
    <t xml:space="preserve">Notes</t>
  </si>
  <si>
    <t xml:space="preserve">ACC-01</t>
  </si>
  <si>
    <t xml:space="preserve">Standard User</t>
  </si>
  <si>
    <t xml:space="preserve">Discover the portal and understand what it is for</t>
  </si>
  <si>
    <t xml:space="preserve">As a Standard User, I want a landing page that explains what Intelligrator onboards and what it does not, so that I do not waste time submitting a request the portal cannot service.</t>
  </si>
  <si>
    <t xml:space="preserve">Not started</t>
  </si>
  <si>
    <t xml:space="preserve">ACC-02</t>
  </si>
  <si>
    <t xml:space="preserve">Sign in with departmental single sign-on</t>
  </si>
  <si>
    <t xml:space="preserve">As a Standard User, I want to sign in using my existing departmental identity via SSO, so that I do not need another credential and my access reflects my organisational role.</t>
  </si>
  <si>
    <t xml:space="preserve">ACC-03</t>
  </si>
  <si>
    <t xml:space="preserve">Role-based landing dashboard</t>
  </si>
  <si>
    <t xml:space="preserve">As a Standard User, I want a dashboard on sign-in showing my requests and a clear call to action to raise a new one, so that I can pick up where I left off in one click.</t>
  </si>
  <si>
    <t xml:space="preserve">ACC-04</t>
  </si>
  <si>
    <t xml:space="preserve">Organisation and service-line context</t>
  </si>
  <si>
    <t xml:space="preserve">As a Standard User, I want my requests automatically associated with my organisation and service line, so that approval routing and ownership are correct without manual entry.</t>
  </si>
  <si>
    <t xml:space="preserve">ACC-05</t>
  </si>
  <si>
    <t xml:space="preserve">Secure session handling and sign-out</t>
  </si>
  <si>
    <t xml:space="preserve">As a Standard User, I want my session to expire on inactivity and to be able to sign out explicitly, so that an unattended machine cannot be used to submit or approve requests.</t>
  </si>
  <si>
    <t xml:space="preserve">REQ-01</t>
  </si>
  <si>
    <t xml:space="preserve">Choose the request type: MFT or API</t>
  </si>
  <si>
    <t xml:space="preserve">As a Standard User, I want to choose whether I am requesting a file transfer or an API, so that I am shown only the fields relevant to my interface.</t>
  </si>
  <si>
    <t xml:space="preserve">REQ-02</t>
  </si>
  <si>
    <t xml:space="preserve">Guided pattern selection with anti-pattern detection</t>
  </si>
  <si>
    <t xml:space="preserve">As a Standard User, I want the portal to ask me about my non-functional needs and recommend the right interaction style, so that I do not accidentally request an async workload disguised as a synchronous API.</t>
  </si>
  <si>
    <t xml:space="preserve">REQ-03</t>
  </si>
  <si>
    <t xml:space="preserve">Save a draft and resume later</t>
  </si>
  <si>
    <t xml:space="preserve">As a Standard User, I want to save a partially completed request and come back to it, so that I can go and find information I do not have to hand without losing my work.</t>
  </si>
  <si>
    <t xml:space="preserve">MFT-01</t>
  </si>
  <si>
    <t xml:space="preserve">Capture MFT interface identity and ownership</t>
  </si>
  <si>
    <t xml:space="preserve">As a Standard User, I want to name my file transfer interface and record who owns it, so that it can be uniquely identified, supported and charged correctly for its whole life.</t>
  </si>
  <si>
    <t xml:space="preserve">MFT-02</t>
  </si>
  <si>
    <t xml:space="preserve">Define source and target endpoints and transfer direction</t>
  </si>
  <si>
    <t xml:space="preserve">As a Standard User, I want to declare where the file comes from and where it goes, and by what protocol, so that the generic MFT engine can be configured without any bespoke build.</t>
  </si>
  <si>
    <t xml:space="preserve">MFT-03</t>
  </si>
  <si>
    <t xml:space="preserve">Specify file characteristics and volumetrics</t>
  </si>
  <si>
    <t xml:space="preserve">As a Standard User, I want to describe the files themselves, so that the platform can validate what arrives and capacity-plan for it.</t>
  </si>
  <si>
    <t xml:space="preserve">MFT-04</t>
  </si>
  <si>
    <t xml:space="preserve">Specify the trigger: event-driven, polled or scheduled</t>
  </si>
  <si>
    <t xml:space="preserve">As a Standard User, I want to declare how the transfer is initiated, so that the engine either watches, polls or schedules it correctly.</t>
  </si>
  <si>
    <t xml:space="preserve">MFT-05</t>
  </si>
  <si>
    <t xml:space="preserve">Declare security: keys, certificates, encryption and allow-listing</t>
  </si>
  <si>
    <t xml:space="preserve">As a Standard User, I want to supply or request the credentials and encryption my transfer needs, so that the interface is secure by default and no secret is ever emailed.</t>
  </si>
  <si>
    <t xml:space="preserve">MFT-06</t>
  </si>
  <si>
    <t xml:space="preserve">Declare data classification and residency</t>
  </si>
  <si>
    <t xml:space="preserve">As a Standard User, I want to classify the data in the files and state where it may reside, so that the approver can assess risk and the platform can route the transfer to a compliant region.</t>
  </si>
  <si>
    <t xml:space="preserve">MFT-07</t>
  </si>
  <si>
    <t xml:space="preserve">Configure error handling, retries and alert routing</t>
  </si>
  <si>
    <t xml:space="preserve">As a Standard User, I want to say what should happen when a transfer fails and who should be told, so that failures are handled predictably and reach the right team.</t>
  </si>
  <si>
    <t xml:space="preserve">MFT-08</t>
  </si>
  <si>
    <t xml:space="preserve">Select environments and promotion path</t>
  </si>
  <si>
    <t xml:space="preserve">As a Standard User, I want to request the interface in a specific environment and understand the path to production, so that expectations about go-live are clear from the outset.</t>
  </si>
  <si>
    <t xml:space="preserve">MFT-09</t>
  </si>
  <si>
    <t xml:space="preserve">Review the generated config row before submitting</t>
  </si>
  <si>
    <t xml:space="preserve">As a Standard User, I want to see exactly what configuration my answers will produce, so that I can confirm it is right before it goes for approval — and so I can see that no bespoke build is being requested on my behalf.</t>
  </si>
  <si>
    <t xml:space="preserve">MFT-10</t>
  </si>
  <si>
    <t xml:space="preserve">Submit the MFT request for approval</t>
  </si>
  <si>
    <t xml:space="preserve">As a Standard User, I want to submit my completed MFT request, so that it enters the approval queue and I get a reference I can quote.</t>
  </si>
  <si>
    <t xml:space="preserve">API-01</t>
  </si>
  <si>
    <t xml:space="preserve">Capture API identity, ownership and consumer intent</t>
  </si>
  <si>
    <t xml:space="preserve">As a Standard User, I want to record what API I am publishing or consuming and who owns it, so that it can be governed, discovered and supported.</t>
  </si>
  <si>
    <t xml:space="preserve">API-02</t>
  </si>
  <si>
    <t xml:space="preserve">Provide the contract first — OpenAPI or AsyncAPI</t>
  </si>
  <si>
    <t xml:space="preserve">As a Standard User, I want to upload or link my API contract as the primary artefact of the request, so that the design is agreed before anything is provisioned.</t>
  </si>
  <si>
    <t xml:space="preserve">API-03</t>
  </si>
  <si>
    <t xml:space="preserve">Declare the interaction style with NFR-driven justification</t>
  </si>
  <si>
    <t xml:space="preserve">As a Standard User, I want to declare whether my API is synchronous request/response, asynchronous, or publish/subscribe, and justify it against NFRs, so that the platform is not asked to expose an unsuitable back-end behind a blocking call.</t>
  </si>
  <si>
    <t xml:space="preserve">API-04</t>
  </si>
  <si>
    <t xml:space="preserve">Define the authentication and authorisation model</t>
  </si>
  <si>
    <t xml:space="preserve">As a Standard User, I want to declare how consumers of my API will authenticate, so that the correct gateway policy is applied and no unprotected endpoint is ever published.</t>
  </si>
  <si>
    <t xml:space="preserve">API-05</t>
  </si>
  <si>
    <t xml:space="preserve">Declare traffic profile, rate limits and service levels</t>
  </si>
  <si>
    <t xml:space="preserve">As a Standard User, I want to declare my expected load and required service level, so that gateway throttling is set correctly and the platform can capacity-plan.</t>
  </si>
  <si>
    <t xml:space="preserve">API-06</t>
  </si>
  <si>
    <t xml:space="preserve">Select environment, routing and gateway policy set</t>
  </si>
  <si>
    <t xml:space="preserve">As a Standard User, I want to declare the environment and back-end routing for my API, so that the gateway can be configured from my request without a bespoke build.</t>
  </si>
  <si>
    <t xml:space="preserve">API-07</t>
  </si>
  <si>
    <t xml:space="preserve">Review and submit the API request</t>
  </si>
  <si>
    <t xml:space="preserve">As a Standard User, I want to review the full API request and submit it, so that it enters the approval queue with a reference I can quote.</t>
  </si>
  <si>
    <t xml:space="preserve">TRK-01</t>
  </si>
  <si>
    <t xml:space="preserve">Track the status of my requests</t>
  </si>
  <si>
    <t xml:space="preserve">As a Standard User, I want to see where each of my requests is in the approval process, so that I do not have to chase anyone to find out.</t>
  </si>
  <si>
    <t xml:space="preserve">TRK-02</t>
  </si>
  <si>
    <t xml:space="preserve">Be notified when a decision or query is raised</t>
  </si>
  <si>
    <t xml:space="preserve">As a Standard User, I want to be notified when my request is approved, rejected or queried, so that I can act without watching the portal.</t>
  </si>
  <si>
    <t xml:space="preserve">TRK-03</t>
  </si>
  <si>
    <t xml:space="preserve">Respond to a request for more information</t>
  </si>
  <si>
    <t xml:space="preserve">As a Standard User, I want to answer an approver's query and resubmit, so that a query does not force me to start again.</t>
  </si>
  <si>
    <t xml:space="preserve">TRK-04</t>
  </si>
  <si>
    <t xml:space="preserve">Amend a rejected request and resubmit</t>
  </si>
  <si>
    <t xml:space="preserve">As a Standard User, I want to clone a rejected request, fix the issue and resubmit, so that I retain the effort I already invested.</t>
  </si>
  <si>
    <t xml:space="preserve">TRK-05</t>
  </si>
  <si>
    <t xml:space="preserve">Withdraw a request</t>
  </si>
  <si>
    <t xml:space="preserve">As a Standard User, I want to withdraw a request that is no longer needed, so that I do not consume approver time on work that has been cancelled.</t>
  </si>
  <si>
    <t xml:space="preserve">TRK-06</t>
  </si>
  <si>
    <t xml:space="preserve">Request a change or decommission of a live interface</t>
  </si>
  <si>
    <t xml:space="preserve">As a Standard User, I want to change or retire an interface that is already live, so that the config store stays accurate and dead interfaces do not linger.</t>
  </si>
  <si>
    <t xml:space="preserve">ADM-01</t>
  </si>
  <si>
    <t xml:space="preserve">MFT Admin</t>
  </si>
  <si>
    <t xml:space="preserve">Sign in as an administrator with step-up authentication</t>
  </si>
  <si>
    <t xml:space="preserve">As an MFT Admin, I want to sign in with my elevated role and complete a step-up authentication challenge, so that approval authority cannot be exercised from a merely-authenticated session.</t>
  </si>
  <si>
    <t xml:space="preserve">ADM-02</t>
  </si>
  <si>
    <t xml:space="preserve">Work an approval queue prioritised by risk and SLA</t>
  </si>
  <si>
    <t xml:space="preserve">As an MFT Admin, I want a single queue of everything awaiting my decision, ordered so the urgent and risky surface first, so that I spend my attention where it matters.</t>
  </si>
  <si>
    <t xml:space="preserve">ADM-03</t>
  </si>
  <si>
    <t xml:space="preserve">Open a request and see the complete submission</t>
  </si>
  <si>
    <t xml:space="preserve">As an MFT Admin, I want to see everything the requester submitted on one screen, so that I can make a decision without hunting through attachments or emailing for context.</t>
  </si>
  <si>
    <t xml:space="preserve">ADM-04</t>
  </si>
  <si>
    <t xml:space="preserve">See the automated pre-check results before deciding</t>
  </si>
  <si>
    <t xml:space="preserve">As an MFT Admin, I want the platform to have already checked the mechanical things, so that my review is spent on judgement rather than on validation a machine could do.</t>
  </si>
  <si>
    <t xml:space="preserve">DEC-01</t>
  </si>
  <si>
    <t xml:space="preserve">Approve a request</t>
  </si>
  <si>
    <t xml:space="preserve">As an MFT Admin, I want to approve a request with a recorded rationale, so that the interface can be provisioned and the decision is defensible after the fact.</t>
  </si>
  <si>
    <t xml:space="preserve">DEC-02</t>
  </si>
  <si>
    <t xml:space="preserve">Reject a request with a reason the requester can act on</t>
  </si>
  <si>
    <t xml:space="preserve">As an MFT Admin, I want to reject a request with a structured reason, so that the requester understands precisely what to fix and does not simply resubmit the same thing.</t>
  </si>
  <si>
    <t xml:space="preserve">DEC-03</t>
  </si>
  <si>
    <t xml:space="preserve">Return a request for more information</t>
  </si>
  <si>
    <t xml:space="preserve">As an MFT Admin, I want to ask the requester a question without rejecting the request outright, so that a single missing detail does not cost the requester a full resubmission.</t>
  </si>
  <si>
    <t xml:space="preserve">DEC-04</t>
  </si>
  <si>
    <t xml:space="preserve">Approve conditionally, with binding conditions</t>
  </si>
  <si>
    <t xml:space="preserve">As an MFT Admin, I want to approve a request subject to stated conditions, so that a low-risk interface is not held up while a non-blocking issue is resolved.</t>
  </si>
  <si>
    <t xml:space="preserve">DEC-05</t>
  </si>
  <si>
    <t xml:space="preserve">Reassign or delegate a request to another approver</t>
  </si>
  <si>
    <t xml:space="preserve">As an MFT Admin, I want to hand a request to a colleague, so that absence or a specialist question does not stall the queue.</t>
  </si>
  <si>
    <t xml:space="preserve">DEC-06</t>
  </si>
  <si>
    <t xml:space="preserve">Enforce segregation of duties</t>
  </si>
  <si>
    <t xml:space="preserve">As an MFT Admin, I want the platform to make it impossible for anyone to approve their own request, so that the control is guaranteed by the system rather than by good behaviour.</t>
  </si>
  <si>
    <t xml:space="preserve">DEC-07</t>
  </si>
  <si>
    <t xml:space="preserve">Fast-path approval for low-risk requests</t>
  </si>
  <si>
    <t xml:space="preserve">As an MFT Admin, I want to approve a batch of requests that passed every pre-check and carry no risk flags, so that routine non-production work does not consume the same effort as a production change.</t>
  </si>
  <si>
    <t xml:space="preserve">PRV-01</t>
  </si>
  <si>
    <t xml:space="preserve">Platform Engineer</t>
  </si>
  <si>
    <t xml:space="preserve">Approval writes a configuration row — not a new component</t>
  </si>
  <si>
    <t xml:space="preserve">As a Platform Engineer, I want an approved request to become a row in the config store consumed by the existing generic engine, so that the estate does not accumulate one Boomi component per interface.</t>
  </si>
  <si>
    <t xml:space="preserve">PRV-02</t>
  </si>
  <si>
    <t xml:space="preserve">Issue credentials securely on approval</t>
  </si>
  <si>
    <t xml:space="preserve">As a Standard User, I want any keys or credentials my interface needs to be issued and delivered securely, so that no secret is ever sent by email or displayed in a page I might screenshot.</t>
  </si>
  <si>
    <t xml:space="preserve">PRV-03</t>
  </si>
  <si>
    <t xml:space="preserve">See provisioning succeed or fail, and roll back cleanly</t>
  </si>
  <si>
    <t xml:space="preserve">As an MFT Admin, I want to know whether the approval actually resulted in a working interface, so that an approved-but-broken interface does not sit undetected.</t>
  </si>
  <si>
    <t xml:space="preserve">AUD-01</t>
  </si>
  <si>
    <t xml:space="preserve">Maintain an immutable audit trail</t>
  </si>
  <si>
    <t xml:space="preserve">As an MFT Admin, I want every action on every request permanently recorded, so that I can demonstrate to an auditor exactly who approved what, when and on what basis.</t>
  </si>
  <si>
    <t xml:space="preserve">AUD-02</t>
  </si>
  <si>
    <t xml:space="preserve">Report on throughput, SLA and rejection reasons</t>
  </si>
  <si>
    <t xml:space="preserve">As an MFT Admin, I want to see how the onboarding service is actually performing, so that I can fix the causes of rejection rather than just processing the symptoms.</t>
  </si>
  <si>
    <t xml:space="preserve">NFR-01</t>
  </si>
  <si>
    <t xml:space="preserve">Meet accessibility standards</t>
  </si>
  <si>
    <t xml:space="preserve">As any user, I want the portal to be usable with assistive technology, so that the service is available to every colleague and meets the department's legal obligation.</t>
  </si>
  <si>
    <t xml:space="preserve">NFR-02</t>
  </si>
  <si>
    <t xml:space="preserve">Meet performance and availability targets</t>
  </si>
  <si>
    <t xml:space="preserve">As any user, I want the portal to be responsive and available, so that it is faster to self-serve than to raise a ticket — otherwise nobody will use it.</t>
  </si>
  <si>
    <t xml:space="preserve">Story Title</t>
  </si>
  <si>
    <t xml:space="preserve">AC #</t>
  </si>
  <si>
    <t xml:space="preserve">Acceptance Criterion (Given / When / Then)</t>
  </si>
  <si>
    <t xml:space="preserve">Test Ref</t>
  </si>
  <si>
    <t xml:space="preserve">Pass/Fail</t>
  </si>
  <si>
    <t xml:space="preserve">Given I am an unauthenticated visitor, when I open the portal URL, then I see a landing page stating that Intelligrator onboards Managed File Transfer interfaces and APIs.</t>
  </si>
  <si>
    <t xml:space="preserve">And I see an explicit "not in scope" statement (no runtime data flows through the portal; no bespoke Boomi process build requests).</t>
  </si>
  <si>
    <t xml:space="preserve">And I see a single, prominent "Sign in" action.</t>
  </si>
  <si>
    <t xml:space="preserve">And I see links to the Integration Pattern Catalogue so I can self-assess which pattern applies before signing in.</t>
  </si>
  <si>
    <t xml:space="preserve">Given I hold a valid departmental identity, when I select "Sign in", then I am redirected to the corporate IdP (OIDC/SAML) and returned authenticated.</t>
  </si>
  <si>
    <t xml:space="preserve">Given authentication succeeds, when I land in the portal, then my display name, email and organisational unit are populated from IdP claims without me typing them.</t>
  </si>
  <si>
    <t xml:space="preserve">Given my IdP group entitles me only to the requester role, when I land, then no administrative navigation is rendered anywhere in the UI (not merely hidden by CSS).</t>
  </si>
  <si>
    <t xml:space="preserve">Given authentication fails, when I am returned, then I see a clear, non-technical error and a route to service support.</t>
  </si>
  <si>
    <t xml:space="preserve">Given I sign in as a requester, when the dashboard loads, then I see counts for Draft, Submitted, Awaiting Info, Approved and Rejected.</t>
  </si>
  <si>
    <t xml:space="preserve">And I see a primary "New request" button.</t>
  </si>
  <si>
    <t xml:space="preserve">And I see my five most recently updated requests with status and last-updated timestamp.</t>
  </si>
  <si>
    <t xml:space="preserve">Given I have no requests, when the dashboard loads, then I see an empty state that explains the next step rather than a blank panel.</t>
  </si>
  <si>
    <t xml:space="preserve">Given my IdP claims include an organisational unit, when I create a request, then the owning organisation is pre-populated and read-only.</t>
  </si>
  <si>
    <t xml:space="preserve">Given I belong to more than one service line, when I create a request, then I am asked to select which one this request belongs to.</t>
  </si>
  <si>
    <t xml:space="preserve">Given the service line drives the approver group, when I submit, then the request is routed to that group's queue.</t>
  </si>
  <si>
    <t xml:space="preserve">Given I have been inactive for the configured idle timeout, when the timeout elapses, then my session is terminated and I am returned to the landing page.</t>
  </si>
  <si>
    <t xml:space="preserve">Given I am two minutes from timeout, when the warning threshold is reached, then I am prompted and offered the option to extend.</t>
  </si>
  <si>
    <t xml:space="preserve">Given I have unsaved form input, when a timeout occurs, then that input is preserved as a draft rather than lost.</t>
  </si>
  <si>
    <t xml:space="preserve">Given I select "Sign out", when the action completes, then the session token is invalidated server-side, not just cleared client-side.</t>
  </si>
  <si>
    <t xml:space="preserve">Given I select "New request", when the type picker loads, then I am offered "Managed File Transfer (MFT)" and "API" with a one-line description of each.</t>
  </si>
  <si>
    <t xml:space="preserve">And each option shows the governing catalogue pattern reference (for example P-116 for MFT) so the choice is anchored to the standard.</t>
  </si>
  <si>
    <t xml:space="preserve">Given I choose a type, when I continue, then the correct submission form is loaded and the type is fixed for the life of the request.</t>
  </si>
  <si>
    <t xml:space="preserve">Given I am unsure, when I select "Help me choose", then I am taken to the guided selection wizard (REQ-02).</t>
  </si>
  <si>
    <t xml:space="preserve">Given I enter the wizard, when it runs, then it asks about response-time budget, back-end availability, expected volume, payload size and reliability/delivery guarantee — not about the number of consumers.</t>
  </si>
  <si>
    <t xml:space="preserve">Given my back-end response time exceeds the synchronous budget or my payload exceeds the size threshold, when the wizard evaluates my answers, then it flags the synchronous option as an anti-pattern and recommends an asynchronous or file-based pattern with the reason stated in plain English.</t>
  </si>
  <si>
    <t xml:space="preserve">Given my answers indicate a bulk, scheduled or large-payload movement, when the wizard evaluates, then it recommends MFT and offers to start an MFT request pre-populated with my answers.</t>
  </si>
  <si>
    <t xml:space="preserve">Given the wizard makes a recommendation, when I disagree, then I may override it, but the override and my stated justification are recorded on the request and surfaced to the approver.</t>
  </si>
  <si>
    <t xml:space="preserve">Given I am part-way through a form, when I select "Save draft", then the request is persisted with status Draft and no validation is enforced.</t>
  </si>
  <si>
    <t xml:space="preserve">And drafts auto-save at a defined interval without me taking any action.</t>
  </si>
  <si>
    <t xml:space="preserve">Given I return to a draft, when I open it, then every previously entered value is restored and I resume at the section I left.</t>
  </si>
  <si>
    <t xml:space="preserve">Given a draft has not been touched for the configured retention period, when the retention job runs, then I am notified before it is archived.</t>
  </si>
  <si>
    <t xml:space="preserve">Given I start an MFT request, when I complete the identity section, then I must supply an interface name, business purpose, owning service, technical contact and business owner.</t>
  </si>
  <si>
    <t xml:space="preserve">Given the naming standard is enforced by the platform, when I enter a name that does not conform, then I am shown the required convention inline and cannot proceed until it conforms.</t>
  </si>
  <si>
    <t xml:space="preserve">Given an interface with the same name already exists, when I attempt to proceed, then I am warned of the collision and offered a link to the existing interface.</t>
  </si>
  <si>
    <t xml:space="preserve">Given all mandatory identity fields are complete, when I continue, then the section is marked complete in the progress indicator.</t>
  </si>
  <si>
    <t xml:space="preserve">Given I reach the endpoints section, when it loads, then I declare direction (inbound to the department, outbound to a partner, or internal) and select a protocol from the supported set (SFTP, AS2, HTTPS, FTPS).</t>
  </si>
  <si>
    <t xml:space="preserve">Given I select a protocol, when the form updates, then only the connection fields valid for that protocol are shown (for example, host/port/path/known-host key for SFTP; AS2 identifier and MDN settings for AS2).</t>
  </si>
  <si>
    <t xml:space="preserve">Given the platform distinguishes Accelerated File Transfer from standard File Streaming, when I declare a payload size above the AFT threshold or a cross-region route, then the portal recommends AFT and explains why.</t>
  </si>
  <si>
    <t xml:space="preserve">Given I complete the endpoint definition, when I continue, then the values map to named columns in the MFT config schema — no free-text blob is created.</t>
  </si>
  <si>
    <t xml:space="preserve">Given I reach the file section, when I complete it, then I supply the filename pattern (glob or regex), file format, expected average and peak file size, and expected files per day and per peak hour.</t>
  </si>
  <si>
    <t xml:space="preserve">Given I enter a filename pattern, when I select "Test pattern", then I can paste a sample filename and immediately see whether it matches.</t>
  </si>
  <si>
    <t xml:space="preserve">Given my declared peak volumetrics exceed the platform capacity threshold, when I continue, then the request is automatically flagged for capacity review by the approver.</t>
  </si>
  <si>
    <t xml:space="preserve">Given files must be archived or purged after transfer, when I complete the section, then I declare the retention period and post-transfer action (archive, delete, leave in place).</t>
  </si>
  <si>
    <t xml:space="preserve">Given I reach the trigger section, when it loads, then I choose between event/arrival-driven, polled at an interval, or scheduled on a cron expression.</t>
  </si>
  <si>
    <t xml:space="preserve">Given I choose polled, when I set the interval, then the portal enforces the minimum permitted polling interval and explains the reason for the floor.</t>
  </si>
  <si>
    <t xml:space="preserve">Given I choose scheduled, when I enter a cron expression, then the portal shows the next five run times in plain English so I can confirm my intent.</t>
  </si>
  <si>
    <t xml:space="preserve">Given the transfer has a business deadline, when I complete the section, then I declare the "must complete by" time so that SLA breach alerting can be configured.</t>
  </si>
  <si>
    <t xml:space="preserve">Given I reach the security section, when it loads, then I declare authentication method (SSH key, certificate, mutual TLS, username/password where permitted) for each endpoint.</t>
  </si>
  <si>
    <t xml:space="preserve">Given I hold a public key or certificate, when I upload it, then the portal validates its format, algorithm strength and expiry date and rejects a weak or expired credential with a clear reason.</t>
  </si>
  <si>
    <t xml:space="preserve">Given I do not hold a key, when I select "Request platform-generated key", then the request is marked for key issuance on approval and no secret is ever entered into a free-text field.</t>
  </si>
  <si>
    <t xml:space="preserve">Given payload encryption is required, when I complete the section, then I declare whether PGP encryption is applied and supply or request the relevant key.</t>
  </si>
  <si>
    <t xml:space="preserve">Given the platform enforces network controls, when I complete the section, then I supply the source IP ranges to be allow-listed.</t>
  </si>
  <si>
    <t xml:space="preserve">Given I reach the data section, when it loads, then I select a data classification from the departmental scheme and declare whether the payload contains personal data.</t>
  </si>
  <si>
    <t xml:space="preserve">Given I declare personal data, when I continue, then I must supply the lawful basis and the retention period, and the request is automatically flagged for enhanced review.</t>
  </si>
  <si>
    <t xml:space="preserve">Given I declare a residency constraint, when I continue, then the portal restricts the selectable target regions to those that satisfy the constraint.</t>
  </si>
  <si>
    <t xml:space="preserve">Given the classification exceeds the threshold for the selected protocol, when I attempt to continue, then I am blocked with an explanation of the required protocol or additional control.</t>
  </si>
  <si>
    <t xml:space="preserve">Given I reach the resilience section, when I complete it, then I declare the retry count, retry interval and back-off strategy from the permitted options.</t>
  </si>
  <si>
    <t xml:space="preserve">Given retries are exhausted, when I complete the section, then I declare the failure action (quarantine, alert only, alert and page).</t>
  </si>
  <si>
    <t xml:space="preserve">Given an alert must reach a team, when I complete the section, then I supply an alert distribution address and, where paging is selected, an on-call rota reference.</t>
  </si>
  <si>
    <t xml:space="preserve">Given the alert address does not resolve, when I attempt to submit, then validation fails with a clear message.</t>
  </si>
  <si>
    <t xml:space="preserve">Given I reach the environment section, when it loads, then I select the target environment (Development, Test, Pre-production, Production).</t>
  </si>
  <si>
    <t xml:space="preserve">Given I select Production, when I continue, then the portal shows the prerequisite environments that must already hold an approved, tested instance of this interface.</t>
  </si>
  <si>
    <t xml:space="preserve">Given a prerequisite is not met, when I attempt to submit for Production, then submission is blocked with a link to raise the prerequisite request.</t>
  </si>
  <si>
    <t xml:space="preserve">Given the same interface is promoted between environments, when I raise the promotion request, then all previously supplied values are carried forward and only environment-specific values (hosts, keys, IPs) are re-entered.</t>
  </si>
  <si>
    <t xml:space="preserve">Given every mandatory section is complete, when I reach the review step, then I see a read-only, human-readable rendering of the full config row that would be created.</t>
  </si>
  <si>
    <t xml:space="preserve">And I see a statement confirming that approval creates a configuration entry consumed by the shared MFT engine process, and does not create a new Boomi component.</t>
  </si>
  <si>
    <t xml:space="preserve">Given I spot an error, when I select the edit link beside any section, then I return to that section with my values intact and can return directly to review.</t>
  </si>
  <si>
    <t xml:space="preserve">Given a mandatory field is missing, when I reach review, then the incomplete sections are listed and the submit action is disabled.</t>
  </si>
  <si>
    <t xml:space="preserve">Given the request passes all validation, when I select "Submit", then the status changes from Draft to Submitted and the request becomes read-only to me.</t>
  </si>
  <si>
    <t xml:space="preserve">And a unique, human-quotable request reference is generated and displayed.</t>
  </si>
  <si>
    <t xml:space="preserve">And a confirmation is sent to me and to the nominated business owner.</t>
  </si>
  <si>
    <t xml:space="preserve">And the request appears in the approval queue of the approver group derived from my service line.</t>
  </si>
  <si>
    <t xml:space="preserve">Given submission fails for a technical reason, when the error occurs, then my request is retained as a Draft with all data intact and I am told plainly what to do next.</t>
  </si>
  <si>
    <t xml:space="preserve">Given I start an API request, when I complete the identity section, then I declare whether I am publishing an API or requesting access to an existing one.</t>
  </si>
  <si>
    <t xml:space="preserve">And I supply API name, business purpose, owning service, technical contact and business owner.</t>
  </si>
  <si>
    <t xml:space="preserve">Given I am requesting access to an existing API, when I search the catalogue, then I can select the published API and my request is linked to it rather than duplicating its definition.</t>
  </si>
  <si>
    <t xml:space="preserve">Given the naming standard is enforced, when I enter a non-conforming name, then I am blocked inline with the required convention shown.</t>
  </si>
  <si>
    <t xml:space="preserve">Given I am publishing a synchronous API, when I reach the contract step, then I must supply an OpenAPI (3.x) document by upload or by URL.</t>
  </si>
  <si>
    <t xml:space="preserve">Given I am publishing an event-driven or asynchronous interface, when I reach the contract step, then I must supply an AsyncAPI document instead.</t>
  </si>
  <si>
    <t xml:space="preserve">Given I supply a contract, when it is received, then it is linted against the departmental API standards ruleset and every error and warning is displayed against the offending line.</t>
  </si>
  <si>
    <t xml:space="preserve">Given the contract has linting errors of severity "error", when I attempt to submit, then submission is blocked until they are resolved.</t>
  </si>
  <si>
    <t xml:space="preserve">Given I have no contract yet, when I reach this step, then I can download a conforming starter template rather than being left stuck.</t>
  </si>
  <si>
    <t xml:space="preserve">Given I reach the interaction step, when it loads, then I select from synchronous request/response, asynchronous (request/callback or polling), or publish/subscribe.</t>
  </si>
  <si>
    <t xml:space="preserve">And I supply the back-end response-time profile (p50, p95, p99), the back-end availability target, and the delivery guarantee required (at-most-once, at-least-once, exactly-once).</t>
  </si>
  <si>
    <t xml:space="preserve">Given my declared p99 exceeds the synchronous threshold, when I nonetheless select synchronous, then the anti-pattern is flagged, I must record a justification, and the flag is carried through to the approver.</t>
  </si>
  <si>
    <t xml:space="preserve">Given I select publish/subscribe, when I continue, then I declare the topic, the event schema reference and the expected subscriber growth.</t>
  </si>
  <si>
    <t xml:space="preserve">Given I reach the security step, when it loads, then I select an authorisation model from the permitted set (OAuth 2.0 client credentials, OAuth 2.0 authorization code, mutual TLS, API key where permitted).</t>
  </si>
  <si>
    <t xml:space="preserve">Given the platform forbids unauthenticated APIs, when no model is selected, then I cannot proceed.</t>
  </si>
  <si>
    <t xml:space="preserve">Given I select OAuth 2.0, when I continue, then I declare the required scopes and the mapping of each scope to each operation in the contract.</t>
  </si>
  <si>
    <t xml:space="preserve">Given I select mutual TLS, when I continue, then I upload or request the client certificate and the portal validates its algorithm strength and expiry.</t>
  </si>
  <si>
    <t xml:space="preserve">Given credentials must be issued, when the request is approved, then they are issued by the platform and delivered by a secure one-time mechanism — never rendered in the portal UI or in an email body.</t>
  </si>
  <si>
    <t xml:space="preserve">Given I reach the traffic step, when I complete it, then I declare expected average TPS, peak TPS, peak window, average and maximum payload size, and required availability SLO.</t>
  </si>
  <si>
    <t xml:space="preserve">Given I declare a peak TPS above the standard tier, when I continue, then the request is automatically flagged for capacity review.</t>
  </si>
  <si>
    <t xml:space="preserve">Given rate limiting is mandatory, when I complete the step, then a default rate limit and burst allowance are proposed and I may request a different value with a justification.</t>
  </si>
  <si>
    <t xml:space="preserve">Given I request an availability SLO above the platform standard, when I continue, then I am shown the cost and architectural implication before I can proceed.</t>
  </si>
  <si>
    <t xml:space="preserve">Given I reach the routing step, when I complete it, then I supply the back-end base URL per environment and the public-facing base path.</t>
  </si>
  <si>
    <t xml:space="preserve">Given the base path collides with an existing published API, when I attempt to continue, then I am blocked and shown the conflicting API.</t>
  </si>
  <si>
    <t xml:space="preserve">Given policy sets are standardised, when I complete the step, then I select from named, pre-approved gateway policy bundles (for example: standard, high-security, partner-facing) rather than composing policies myself.</t>
  </si>
  <si>
    <t xml:space="preserve">Given I need a policy that no bundle provides, when I select "Request non-standard policy", then the request is routed for enhanced review with my justification attached.</t>
  </si>
  <si>
    <t xml:space="preserve">Given every mandatory section is complete and the contract lints clean, when I reach review, then I see the full request including the resolved contract summary (operations, schemas, scopes).</t>
  </si>
  <si>
    <t xml:space="preserve">And I see a statement confirming that approval creates gateway configuration from my declared values and does not create a bespoke integration component.</t>
  </si>
  <si>
    <t xml:space="preserve">Given I submit, when submission succeeds, then the status changes to Submitted, a unique reference is generated, confirmations are sent, and the request enters the correct approval queue.</t>
  </si>
  <si>
    <t xml:space="preserve">Given any anti-pattern flag or non-standard request is present, when the request enters the queue, then it is visibly badged as requiring enhanced review.</t>
  </si>
  <si>
    <t xml:space="preserve">Given I open "My requests", when the list loads, then each request shows its reference, type, environment, current status, current owner and the age in working days.</t>
  </si>
  <si>
    <t xml:space="preserve">Given I open a request, when the detail loads, then I see a full timeline of every state transition with actor and timestamp.</t>
  </si>
  <si>
    <t xml:space="preserve">Given a request is awaiting approval, when I view it, then I see the target SLA date for the decision.</t>
  </si>
  <si>
    <t xml:space="preserve">Given I want to find one request among many, when I use the filters, then I can filter by type, status, environment and date range.</t>
  </si>
  <si>
    <t xml:space="preserve">Given my request changes status, when the transition is committed, then I receive a notification containing the reference, the new status and the reason where one was given.</t>
  </si>
  <si>
    <t xml:space="preserve">And the notification contains a deep link to the request in the portal.</t>
  </si>
  <si>
    <t xml:space="preserve">And the notification never contains a secret, key or credential.</t>
  </si>
  <si>
    <t xml:space="preserve">Given the business owner is nominated on the request, when a terminal decision is made, then they are copied.</t>
  </si>
  <si>
    <t xml:space="preserve">Given the approver has set my request to "Awaiting Information", when I open it, then it becomes editable again and their question is displayed prominently against the section it concerns.</t>
  </si>
  <si>
    <t xml:space="preserve">Given I have answered, when I resubmit, then the request returns to the same approver (not to the back of a generic queue) with my answer attached to the thread.</t>
  </si>
  <si>
    <t xml:space="preserve">Given the request is Awaiting Information, when the SLA clock is evaluated, then the time spent waiting on me is excluded from the approver's SLA.</t>
  </si>
  <si>
    <t xml:space="preserve">Given I do not respond within the configured period, when the period elapses, then I am reminded, and after a second period the request is auto-withdrawn with notification.</t>
  </si>
  <si>
    <t xml:space="preserve">Given my request was rejected, when I select "Amend and resubmit", then a new request is created pre-populated with every value from the rejected one.</t>
  </si>
  <si>
    <t xml:space="preserve">And the new request retains a link to its predecessor and to the rejection reason.</t>
  </si>
  <si>
    <t xml:space="preserve">Given I resubmit, when the approver opens it, then they see a field-level difference against the rejected version so they can review only what changed.</t>
  </si>
  <si>
    <t xml:space="preserve">Given my request is in Draft or Submitted, when I select "Withdraw" and confirm, then its status becomes Withdrawn and it is removed from the approval queue.</t>
  </si>
  <si>
    <t xml:space="preserve">Given a request has been approved, when I view it, then "Withdraw" is not offered; I must instead raise a decommission request (TRK-06).</t>
  </si>
  <si>
    <t xml:space="preserve">And the withdrawal, with actor and timestamp, is written to the audit trail.</t>
  </si>
  <si>
    <t xml:space="preserve">Given an interface of mine is live, when I select "Request change", then a new request is opened pre-populated with the current live configuration.</t>
  </si>
  <si>
    <t xml:space="preserve">And the approver sees a field-level difference between the live config and the proposed config.</t>
  </si>
  <si>
    <t xml:space="preserve">Given I select "Request decommission", when the request is approved, then the config row is disabled (not deleted) and retained for the audit retention period.</t>
  </si>
  <si>
    <t xml:space="preserve">Given the interface has been inactive for the configured dormancy period, when the dormancy job runs, then I am prompted to confirm whether it is still required.</t>
  </si>
  <si>
    <t xml:space="preserve">Given my IdP group grants the approver role, when I sign in, then the administrative navigation and approval queue are available to me.</t>
  </si>
  <si>
    <t xml:space="preserve">Given I attempt a decision action (approve, reject, conditionally approve), when the action is invoked, then I am challenged for multi-factor step-up authentication before the decision is committed.</t>
  </si>
  <si>
    <t xml:space="preserve">Given I fail the step-up challenge, when the decision is attempted, then no state change occurs and the failed attempt is written to the audit trail.</t>
  </si>
  <si>
    <t xml:space="preserve">Given I do not hold the approver role, when I attempt to reach an administrative URL directly, then the server rejects the request — access is enforced at the API, not only in the UI.</t>
  </si>
  <si>
    <t xml:space="preserve">Given administrative sessions carry higher risk, when I am idle, then a shorter idle timeout applies to me than to a standard user.</t>
  </si>
  <si>
    <t xml:space="preserve">Given I open the approval queue, when it loads, then I see every request awaiting decision in my approver group with reference, type (MFT/API), requester, service line, environment, age in working days and SLA status.</t>
  </si>
  <si>
    <t xml:space="preserve">And requests are badged where they carry an anti-pattern flag, an enhanced-review flag (personal data, non-standard policy, capacity), or a Production target.</t>
  </si>
  <si>
    <t xml:space="preserve">And I can sort and filter by any of those attributes.</t>
  </si>
  <si>
    <t xml:space="preserve">Given a request is approaching or has breached its decision SLA, when the queue renders, then it is visually distinguished.</t>
  </si>
  <si>
    <t xml:space="preserve">Given the queue is empty, when it loads, then I see an explicit empty state rather than an ambiguous blank list.</t>
  </si>
  <si>
    <t xml:space="preserve">Given I open a request from the queue, when the detail loads, then every submitted section is rendered read-only in a single scrollable view with a section index.</t>
  </si>
  <si>
    <t xml:space="preserve">And for an MFT request I see the exact config row that would be written on approval.</t>
  </si>
  <si>
    <t xml:space="preserve">And for an API request I see the parsed contract summary — operations, schemas, scopes, and the linting result.</t>
  </si>
  <si>
    <t xml:space="preserve">Given the request is an amendment or a change to a live interface, when I open it, then I see a field-level difference highlighting only what changed.</t>
  </si>
  <si>
    <t xml:space="preserve">Given I need to see the history, when I open the timeline, then every prior state transition, comment and prior decision on the lineage is visible.</t>
  </si>
  <si>
    <t xml:space="preserve">Given a request enters the queue, when I open it, then a pre-check panel shows a pass/warn/fail result for each automated check.</t>
  </si>
  <si>
    <t xml:space="preserve">And the checks include at minimum: naming-standard conformance, duplicate/collision detection, credential strength and expiry, contract linting (API), data-classification-versus-protocol compatibility, capacity threshold, IP allow-list validity, and anti-pattern flags.</t>
  </si>
  <si>
    <t xml:space="preserve">Given any check has failed, when I view the panel, then the failure is stated in one line with a link to the offending field.</t>
  </si>
  <si>
    <t xml:space="preserve">Given every check has passed and the request carries no enhanced-review flag, when I view the request, then it is eligible for the low-risk fast path (DEC-07).</t>
  </si>
  <si>
    <t xml:space="preserve">Given a pre-check fails, when I attempt to approve, then I am not blocked, but I must record an explicit override justification which is retained in the audit trail.</t>
  </si>
  <si>
    <t xml:space="preserve">Given I am reviewing a request, when I select "Approve", then I am required to complete step-up authentication (ADM-01).</t>
  </si>
  <si>
    <t xml:space="preserve">And I may record an approval rationale, which is mandatory where any pre-check warned or failed, or where an anti-pattern flag is present.</t>
  </si>
  <si>
    <t xml:space="preserve">Given I confirm, when the decision commits, then the status becomes Approved, the request becomes immutable, and provisioning is triggered (PRV-01).</t>
  </si>
  <si>
    <t xml:space="preserve">And the requester and the business owner are notified.</t>
  </si>
  <si>
    <t xml:space="preserve">And the decision, the actor, the timestamp, the rationale and the state of every pre-check at the moment of decision are written to the immutable audit trail.</t>
  </si>
  <si>
    <t xml:space="preserve">Given I am reviewing a request, when I select "Reject", then I must choose at least one reason code from a governed list (for example: fails security policy, fails naming standard, unsuitable pattern, incomplete information, duplicate interface, capacity not available, data classification not permitted).</t>
  </si>
  <si>
    <t xml:space="preserve">And I must supply free-text detail; a reason code alone is not sufficient.</t>
  </si>
  <si>
    <t xml:space="preserve">And I may attach the rejection to one or more specific fields so the requester sees it in context.</t>
  </si>
  <si>
    <t xml:space="preserve">Given I confirm after step-up authentication, when the decision commits, then the status becomes Rejected, the requester and business owner are notified with the reason, and no provisioning occurs.</t>
  </si>
  <si>
    <t xml:space="preserve">Given the request is rejected, when the requester views it, then "Amend and resubmit" is offered (TRK-04).</t>
  </si>
  <si>
    <t xml:space="preserve">Given I am reviewing a request, when I select "Request information", then I must supply a question and may anchor it to one or more specific fields.</t>
  </si>
  <si>
    <t xml:space="preserve">Given I confirm, when the action commits, then the status becomes Awaiting Information, the request becomes editable by the requester, and it leaves my active queue.</t>
  </si>
  <si>
    <t xml:space="preserve">And my decision SLA clock is paused for the duration the request is with the requester.</t>
  </si>
  <si>
    <t xml:space="preserve">Given the requester responds, when they resubmit, then the request returns to me specifically, with their answer threaded against my question.</t>
  </si>
  <si>
    <t xml:space="preserve">Given I am reviewing a request, when I select "Approve with conditions", then I must state each condition and a due date for it.</t>
  </si>
  <si>
    <t xml:space="preserve">Given I confirm, when the decision commits, then provisioning proceeds, and the interface is flagged as conditionally approved in the config store.</t>
  </si>
  <si>
    <t xml:space="preserve">Given a condition passes its due date unmet, when the condition-monitoring job runs, then the requester and I are alerted and the interface is escalated for review.</t>
  </si>
  <si>
    <t xml:space="preserve">Given all conditions are marked met, when the last one is closed, then the conditional flag is cleared and the audit trail records who closed it.</t>
  </si>
  <si>
    <t xml:space="preserve">Given I hold a request, when I select "Reassign", then I can select another approver within an eligible approver group and must supply a reason.</t>
  </si>
  <si>
    <t xml:space="preserve">Given I reassign, when the action commits, then the request moves to their queue, the SLA clock continues unbroken, and the requester sees the new owner.</t>
  </si>
  <si>
    <t xml:space="preserve">Given I will be absent, when I set a delegation period, then requests routed to me during that period are automatically routed to my nominated delegate.</t>
  </si>
  <si>
    <t xml:space="preserve">Given I raised a request and I also hold the approver role, when that request reaches the queue, then it is not presented to me and the decision actions are not available to me on it.</t>
  </si>
  <si>
    <t xml:space="preserve">And the rule is enforced server-side: a direct API call to approve my own request is rejected.</t>
  </si>
  <si>
    <t xml:space="preserve">Given I am the only approver in the group, when I raise a request, then it is automatically routed to the escalation approver group rather than being blocked indefinitely.</t>
  </si>
  <si>
    <t xml:space="preserve">Given any attempt to bypass the rule occurs, when it is rejected, then the attempt is written to the audit trail.</t>
  </si>
  <si>
    <t xml:space="preserve">Given multiple requests have passed every automated pre-check, carry no enhanced-review flag and target a non-production environment, when I open the fast path, then I may select and approve them together.</t>
  </si>
  <si>
    <t xml:space="preserve">Given I fast-path approve, when the decision commits, then step-up authentication is still required once for the batch, and each request receives its own individual audit entry.</t>
  </si>
  <si>
    <t xml:space="preserve">Given any request in my selection is not fast-path eligible, when I attempt to include it, then it is excluded from the batch with the reason shown.</t>
  </si>
  <si>
    <t xml:space="preserve">Given a request targets Production, when I attempt to fast-path it, then it is never eligible, regardless of pre-check results.</t>
  </si>
  <si>
    <t xml:space="preserve">Given a request is approved, when provisioning runs, then a single configuration record is written to the MFT config store (or the gateway policy store, for an API) keyed by the request reference.</t>
  </si>
  <si>
    <t xml:space="preserve">And no new Boomi process, connection or component is created for that interface.</t>
  </si>
  <si>
    <t xml:space="preserve">And the generic engine picks up the new configuration without redeployment.</t>
  </si>
  <si>
    <t xml:space="preserve">Given the config schema does not have a column for something a requester needs, when that gap is identified, then it is handled by a schema extension, never by a bespoke per-interface process.</t>
  </si>
  <si>
    <t xml:space="preserve">Given provisioning completes, when I inspect the config store, then the row is traceable to the approved request, the approver and the timestamp.</t>
  </si>
  <si>
    <t xml:space="preserve">Given my approved request asked for platform-generated credentials, when provisioning runs, then they are generated in the secrets store and never written to the portal database in plaintext.</t>
  </si>
  <si>
    <t xml:space="preserve">And I am notified that credentials are ready via a link that requires me to re-authenticate.</t>
  </si>
  <si>
    <t xml:space="preserve">And the secret is revealed once, is time-limited, and cannot be retrieved a second time through the portal.</t>
  </si>
  <si>
    <t xml:space="preserve">Given the credential has an expiry, when the expiry approaches, then I and the technical contact are notified in advance with instructions to rotate.</t>
  </si>
  <si>
    <t xml:space="preserve">Given a credential must be rotated, when I request rotation, then it follows the same secure issuance path without requiring a new onboarding request.</t>
  </si>
  <si>
    <t xml:space="preserve">Given a request is approved, when provisioning runs, then its status moves through Provisioning to either Live or Provisioning Failed.</t>
  </si>
  <si>
    <t xml:space="preserve">Given provisioning fails, when the failure occurs, then any partial configuration is rolled back, the approver and requester are notified, and the failure reason is displayed.</t>
  </si>
  <si>
    <t xml:space="preserve">Given provisioning succeeds, when the status becomes Live, then a connectivity smoke test result is recorded against the interface.</t>
  </si>
  <si>
    <t xml:space="preserve">Given the smoke test fails, when the result is recorded, then the interface is flagged as Live (Unverified) rather than being silently marked healthy.</t>
  </si>
  <si>
    <t xml:space="preserve">Given any state transition, decision, override, reassignment or credential issuance occurs, when it commits, then an audit record is written capturing actor, role, action, timestamp, request reference and rationale.</t>
  </si>
  <si>
    <t xml:space="preserve">And audit records are append-only; no user, including an administrator, can edit or delete one through any interface.</t>
  </si>
  <si>
    <t xml:space="preserve">And the audit trail records failed authorisation attempts as well as successful actions.</t>
  </si>
  <si>
    <t xml:space="preserve">Given an auditor needs evidence, when they export the trail for a request or a date range, then a complete, tamper-evident export is produced.</t>
  </si>
  <si>
    <t xml:space="preserve">Given the retention policy applies, when the retention period elapses, then records are archived, not destroyed, unless destruction is explicitly mandated.</t>
  </si>
  <si>
    <t xml:space="preserve">Given I open reporting, when it loads, then I see requests submitted, approved, rejected and withdrawn over a selectable period, split by MFT and API.</t>
  </si>
  <si>
    <t xml:space="preserve">And I see median and 90th-percentile time-to-decision against SLA, with time spent Awaiting Information excluded.</t>
  </si>
  <si>
    <t xml:space="preserve">And I see rejection reason codes ranked by frequency, so that the commonest causes can be designed out of the form.</t>
  </si>
  <si>
    <t xml:space="preserve">And I see the proportion of requests requiring enhanced review and the proportion carrying anti-pattern overrides.</t>
  </si>
  <si>
    <t xml:space="preserve">Given I need the underlying data, when I select export, then I can download the dataset.</t>
  </si>
  <si>
    <t xml:space="preserve">Given the portal is assessed, when it is tested, then it conforms to WCAG 2.2 Level AA.</t>
  </si>
  <si>
    <t xml:space="preserve">And every function, including the full request forms, review screens and decision actions, is completable by keyboard alone.</t>
  </si>
  <si>
    <t xml:space="preserve">And every form error is announced by a screen reader and associated programmatically with the field it concerns.</t>
  </si>
  <si>
    <t xml:space="preserve">And no meaning is conveyed by colour alone — risk badges and SLA warnings carry a text or icon equivalent.</t>
  </si>
  <si>
    <t xml:space="preserve">Given normal load, when I load any page, then it renders within the agreed response-time budget at the 95th percentile.</t>
  </si>
  <si>
    <t xml:space="preserve">Given the approval queue contains a large number of requests, when it loads, then it pages and filters server-side rather than degrading.</t>
  </si>
  <si>
    <t xml:space="preserve">Given the portal is unavailable, when the outage occurs, then no in-flight request data is lost and drafts survive.</t>
  </si>
  <si>
    <t xml:space="preserve">Given the service level is defined, when availability is measured, then it is reported against the agreed SLO in the reporting view (AUD-02).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</si>
</sst>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1723"/>
      <name val="Arial"/>
      <family val="0"/>
      <charset val="1"/>
    </font>
    <font>
      <sz val="10"/>
      <color rgb="FF3D4653"/>
      <name val="Arial"/>
      <family val="0"/>
      <charset val="1"/>
    </font>
    <font>
      <sz val="9"/>
      <color rgb="FF7A8493"/>
      <name val="Arial"/>
      <family val="0"/>
      <charset val="1"/>
    </font>
    <font>
      <b val="true"/>
      <sz val="12"/>
      <color rgb="FF0F1723"/>
      <name val="Arial"/>
      <family val="0"/>
      <charset val="1"/>
    </font>
    <font>
      <b val="true"/>
      <sz val="10"/>
      <color rgb="FF3D465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F1723"/>
      <name val="Arial"/>
      <family val="0"/>
      <charset val="1"/>
    </font>
    <font>
      <b val="true"/>
      <sz val="10"/>
      <color rgb="FF003D9E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1723"/>
        <bgColor rgb="FF000000"/>
      </patternFill>
    </fill>
    <fill>
      <patternFill patternType="solid">
        <fgColor rgb="FFEEF2F7"/>
        <bgColor rgb="FFFF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FE4EA"/>
      </left>
      <right style="thin">
        <color rgb="FFDFE4EA"/>
      </right>
      <top style="thin">
        <color rgb="FFDFE4EA"/>
      </top>
      <bottom style="thin">
        <color rgb="FFDFE4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F172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3D9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D4653"/>
          <bgColor rgb="FF000000"/>
        </patternFill>
      </fill>
    </dxf>
    <dxf>
      <fill>
        <patternFill patternType="solid">
          <fgColor rgb="FFFFFF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8493"/>
      <rgbColor rgb="FF9999FF"/>
      <rgbColor rgb="FF993366"/>
      <rgbColor rgb="FFFFFFCC"/>
      <rgbColor rgb="FFEEF2F7"/>
      <rgbColor rgb="FF660066"/>
      <rgbColor rgb="FFFF8080"/>
      <rgbColor rgb="FF0066CC"/>
      <rgbColor rgb="FFDFE4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D9E"/>
      <rgbColor rgb="FF339966"/>
      <rgbColor rgb="FF0F1723"/>
      <rgbColor rgb="FF333300"/>
      <rgbColor rgb="FF993300"/>
      <rgbColor rgb="FF993366"/>
      <rgbColor rgb="FF333399"/>
      <rgbColor rgb="FF3D46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5" min="4" style="0" width="10"/>
    <col collapsed="false" customWidth="true" hidden="false" outlineLevel="0" max="8" min="6" style="0" width="9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2" t="s">
        <v>4</v>
      </c>
      <c r="B6" s="5" t="n">
        <f aca="false">COUNTA(Backlog!$A$2:$A$50)</f>
        <v>49</v>
      </c>
    </row>
    <row r="7" customFormat="false" ht="15" hidden="false" customHeight="false" outlineLevel="0" collapsed="false">
      <c r="A7" s="2" t="s">
        <v>5</v>
      </c>
      <c r="B7" s="5" t="n">
        <f aca="false">SUM(Backlog!$H$2:$H$50)</f>
        <v>242</v>
      </c>
    </row>
    <row r="8" customFormat="false" ht="15" hidden="false" customHeight="false" outlineLevel="0" collapsed="false">
      <c r="A8" s="2" t="s">
        <v>6</v>
      </c>
      <c r="B8" s="5" t="n">
        <f aca="false">COUNTIF(Backlog!$G$2:$G$50,"Must")</f>
        <v>39</v>
      </c>
    </row>
    <row r="9" customFormat="false" ht="15" hidden="false" customHeight="false" outlineLevel="0" collapsed="false">
      <c r="A9" s="2" t="s">
        <v>7</v>
      </c>
      <c r="B9" s="5" t="n">
        <f aca="false">COUNTIF(Backlog!$G$2:$G$50,"Should")</f>
        <v>9</v>
      </c>
    </row>
    <row r="10" customFormat="false" ht="15" hidden="false" customHeight="false" outlineLevel="0" collapsed="false">
      <c r="A10" s="2" t="s">
        <v>8</v>
      </c>
      <c r="B10" s="5" t="n">
        <f aca="false">COUNTIF(Backlog!$G$2:$G$50,"Could")</f>
        <v>1</v>
      </c>
    </row>
    <row r="11" customFormat="false" ht="15" hidden="false" customHeight="false" outlineLevel="0" collapsed="false">
      <c r="A11" s="2" t="s">
        <v>9</v>
      </c>
      <c r="B11" s="5" t="n">
        <f aca="false">SUMIF(Backlog!$G$2:$G$50,"Must",Backlog!$H$2:$H$50)</f>
        <v>204</v>
      </c>
    </row>
    <row r="12" customFormat="false" ht="15" hidden="false" customHeight="false" outlineLevel="0" collapsed="false">
      <c r="A12" s="2" t="s">
        <v>10</v>
      </c>
      <c r="B12" s="5" t="n">
        <f aca="false">COUNTA('Acceptance Criteria'!$A$2:$A$207)</f>
        <v>206</v>
      </c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6" t="s">
        <v>12</v>
      </c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18</v>
      </c>
      <c r="H16" s="6" t="s">
        <v>19</v>
      </c>
    </row>
    <row r="17" customFormat="false" ht="15" hidden="false" customHeight="false" outlineLevel="0" collapsed="false">
      <c r="A17" s="5" t="s">
        <v>20</v>
      </c>
      <c r="B17" s="7" t="s">
        <v>21</v>
      </c>
      <c r="C17" s="7" t="s">
        <v>22</v>
      </c>
      <c r="D17" s="7" t="n">
        <f aca="false">COUNTIF(Backlog!$B$2:$B$50,$A17)</f>
        <v>5</v>
      </c>
      <c r="E17" s="7" t="n">
        <f aca="false">SUMIF(Backlog!$B$2:$B$50,$A17,Backlog!$H$2:$H$50)</f>
        <v>16</v>
      </c>
      <c r="F17" s="7" t="n">
        <f aca="false">COUNTIFS(Backlog!$B$2:$B$50,$A17,Backlog!$G$2:$G$50,"Must")</f>
        <v>4</v>
      </c>
      <c r="G17" s="7" t="n">
        <f aca="false">COUNTIFS(Backlog!$B$2:$B$50,$A17,Backlog!$G$2:$G$50,"Should")</f>
        <v>1</v>
      </c>
      <c r="H17" s="7" t="n">
        <f aca="false">COUNTIFS(Backlog!$B$2:$B$50,$A17,Backlog!$G$2:$G$50,"Could")</f>
        <v>0</v>
      </c>
    </row>
    <row r="18" customFormat="false" ht="15" hidden="false" customHeight="false" outlineLevel="0" collapsed="false">
      <c r="A18" s="5" t="s">
        <v>23</v>
      </c>
      <c r="B18" s="7" t="s">
        <v>24</v>
      </c>
      <c r="C18" s="7" t="s">
        <v>25</v>
      </c>
      <c r="D18" s="7" t="n">
        <f aca="false">COUNTIF(Backlog!$B$2:$B$50,$A18)</f>
        <v>3</v>
      </c>
      <c r="E18" s="7" t="n">
        <f aca="false">SUMIF(Backlog!$B$2:$B$50,$A18,Backlog!$H$2:$H$50)</f>
        <v>16</v>
      </c>
      <c r="F18" s="7" t="n">
        <f aca="false">COUNTIFS(Backlog!$B$2:$B$50,$A18,Backlog!$G$2:$G$50,"Must")</f>
        <v>3</v>
      </c>
      <c r="G18" s="7" t="n">
        <f aca="false">COUNTIFS(Backlog!$B$2:$B$50,$A18,Backlog!$G$2:$G$50,"Should")</f>
        <v>0</v>
      </c>
      <c r="H18" s="7" t="n">
        <f aca="false">COUNTIFS(Backlog!$B$2:$B$50,$A18,Backlog!$G$2:$G$50,"Could")</f>
        <v>0</v>
      </c>
    </row>
    <row r="19" customFormat="false" ht="15" hidden="false" customHeight="false" outlineLevel="0" collapsed="false">
      <c r="A19" s="5" t="s">
        <v>26</v>
      </c>
      <c r="B19" s="7" t="s">
        <v>27</v>
      </c>
      <c r="C19" s="7" t="s">
        <v>25</v>
      </c>
      <c r="D19" s="7" t="n">
        <f aca="false">COUNTIF(Backlog!$B$2:$B$50,$A19)</f>
        <v>10</v>
      </c>
      <c r="E19" s="7" t="n">
        <f aca="false">SUMIF(Backlog!$B$2:$B$50,$A19,Backlog!$H$2:$H$50)</f>
        <v>52</v>
      </c>
      <c r="F19" s="7" t="n">
        <f aca="false">COUNTIFS(Backlog!$B$2:$B$50,$A19,Backlog!$G$2:$G$50,"Must")</f>
        <v>10</v>
      </c>
      <c r="G19" s="7" t="n">
        <f aca="false">COUNTIFS(Backlog!$B$2:$B$50,$A19,Backlog!$G$2:$G$50,"Should")</f>
        <v>0</v>
      </c>
      <c r="H19" s="7" t="n">
        <f aca="false">COUNTIFS(Backlog!$B$2:$B$50,$A19,Backlog!$G$2:$G$50,"Could")</f>
        <v>0</v>
      </c>
    </row>
    <row r="20" customFormat="false" ht="15" hidden="false" customHeight="false" outlineLevel="0" collapsed="false">
      <c r="A20" s="5" t="s">
        <v>28</v>
      </c>
      <c r="B20" s="7" t="s">
        <v>29</v>
      </c>
      <c r="C20" s="7" t="s">
        <v>25</v>
      </c>
      <c r="D20" s="7" t="n">
        <f aca="false">COUNTIF(Backlog!$B$2:$B$50,$A20)</f>
        <v>7</v>
      </c>
      <c r="E20" s="7" t="n">
        <f aca="false">SUMIF(Backlog!$B$2:$B$50,$A20,Backlog!$H$2:$H$50)</f>
        <v>39</v>
      </c>
      <c r="F20" s="7" t="n">
        <f aca="false">COUNTIFS(Backlog!$B$2:$B$50,$A20,Backlog!$G$2:$G$50,"Must")</f>
        <v>6</v>
      </c>
      <c r="G20" s="7" t="n">
        <f aca="false">COUNTIFS(Backlog!$B$2:$B$50,$A20,Backlog!$G$2:$G$50,"Should")</f>
        <v>1</v>
      </c>
      <c r="H20" s="7" t="n">
        <f aca="false">COUNTIFS(Backlog!$B$2:$B$50,$A20,Backlog!$G$2:$G$50,"Could")</f>
        <v>0</v>
      </c>
    </row>
    <row r="21" customFormat="false" ht="15" hidden="false" customHeight="false" outlineLevel="0" collapsed="false">
      <c r="A21" s="5" t="s">
        <v>30</v>
      </c>
      <c r="B21" s="7" t="s">
        <v>31</v>
      </c>
      <c r="C21" s="7" t="s">
        <v>25</v>
      </c>
      <c r="D21" s="7" t="n">
        <f aca="false">COUNTIF(Backlog!$B$2:$B$50,$A21)</f>
        <v>6</v>
      </c>
      <c r="E21" s="7" t="n">
        <f aca="false">SUMIF(Backlog!$B$2:$B$50,$A21,Backlog!$H$2:$H$50)</f>
        <v>23</v>
      </c>
      <c r="F21" s="7" t="n">
        <f aca="false">COUNTIFS(Backlog!$B$2:$B$50,$A21,Backlog!$G$2:$G$50,"Must")</f>
        <v>3</v>
      </c>
      <c r="G21" s="7" t="n">
        <f aca="false">COUNTIFS(Backlog!$B$2:$B$50,$A21,Backlog!$G$2:$G$50,"Should")</f>
        <v>3</v>
      </c>
      <c r="H21" s="7" t="n">
        <f aca="false">COUNTIFS(Backlog!$B$2:$B$50,$A21,Backlog!$G$2:$G$50,"Could")</f>
        <v>0</v>
      </c>
    </row>
    <row r="22" customFormat="false" ht="15" hidden="false" customHeight="false" outlineLevel="0" collapsed="false">
      <c r="A22" s="5" t="s">
        <v>32</v>
      </c>
      <c r="B22" s="7" t="s">
        <v>33</v>
      </c>
      <c r="C22" s="7" t="s">
        <v>34</v>
      </c>
      <c r="D22" s="7" t="n">
        <f aca="false">COUNTIF(Backlog!$B$2:$B$50,$A22)</f>
        <v>4</v>
      </c>
      <c r="E22" s="7" t="n">
        <f aca="false">SUMIF(Backlog!$B$2:$B$50,$A22,Backlog!$H$2:$H$50)</f>
        <v>26</v>
      </c>
      <c r="F22" s="7" t="n">
        <f aca="false">COUNTIFS(Backlog!$B$2:$B$50,$A22,Backlog!$G$2:$G$50,"Must")</f>
        <v>4</v>
      </c>
      <c r="G22" s="7" t="n">
        <f aca="false">COUNTIFS(Backlog!$B$2:$B$50,$A22,Backlog!$G$2:$G$50,"Should")</f>
        <v>0</v>
      </c>
      <c r="H22" s="7" t="n">
        <f aca="false">COUNTIFS(Backlog!$B$2:$B$50,$A22,Backlog!$G$2:$G$50,"Could")</f>
        <v>0</v>
      </c>
    </row>
    <row r="23" customFormat="false" ht="15" hidden="false" customHeight="false" outlineLevel="0" collapsed="false">
      <c r="A23" s="5" t="s">
        <v>35</v>
      </c>
      <c r="B23" s="7" t="s">
        <v>36</v>
      </c>
      <c r="C23" s="7" t="s">
        <v>34</v>
      </c>
      <c r="D23" s="7" t="n">
        <f aca="false">COUNTIF(Backlog!$B$2:$B$50,$A23)</f>
        <v>7</v>
      </c>
      <c r="E23" s="7" t="n">
        <f aca="false">SUMIF(Backlog!$B$2:$B$50,$A23,Backlog!$H$2:$H$50)</f>
        <v>31</v>
      </c>
      <c r="F23" s="7" t="n">
        <f aca="false">COUNTIFS(Backlog!$B$2:$B$50,$A23,Backlog!$G$2:$G$50,"Must")</f>
        <v>4</v>
      </c>
      <c r="G23" s="7" t="n">
        <f aca="false">COUNTIFS(Backlog!$B$2:$B$50,$A23,Backlog!$G$2:$G$50,"Should")</f>
        <v>2</v>
      </c>
      <c r="H23" s="7" t="n">
        <f aca="false">COUNTIFS(Backlog!$B$2:$B$50,$A23,Backlog!$G$2:$G$50,"Could")</f>
        <v>1</v>
      </c>
    </row>
    <row r="24" customFormat="false" ht="15" hidden="false" customHeight="false" outlineLevel="0" collapsed="false">
      <c r="A24" s="5" t="s">
        <v>37</v>
      </c>
      <c r="B24" s="7" t="s">
        <v>38</v>
      </c>
      <c r="C24" s="7" t="s">
        <v>39</v>
      </c>
      <c r="D24" s="7" t="n">
        <f aca="false">COUNTIF(Backlog!$B$2:$B$50,$A24)</f>
        <v>3</v>
      </c>
      <c r="E24" s="7" t="n">
        <f aca="false">SUMIF(Backlog!$B$2:$B$50,$A24,Backlog!$H$2:$H$50)</f>
        <v>21</v>
      </c>
      <c r="F24" s="7" t="n">
        <f aca="false">COUNTIFS(Backlog!$B$2:$B$50,$A24,Backlog!$G$2:$G$50,"Must")</f>
        <v>3</v>
      </c>
      <c r="G24" s="7" t="n">
        <f aca="false">COUNTIFS(Backlog!$B$2:$B$50,$A24,Backlog!$G$2:$G$50,"Should")</f>
        <v>0</v>
      </c>
      <c r="H24" s="7" t="n">
        <f aca="false">COUNTIFS(Backlog!$B$2:$B$50,$A24,Backlog!$G$2:$G$50,"Could")</f>
        <v>0</v>
      </c>
    </row>
    <row r="25" customFormat="false" ht="15" hidden="false" customHeight="false" outlineLevel="0" collapsed="false">
      <c r="A25" s="5" t="s">
        <v>40</v>
      </c>
      <c r="B25" s="7" t="s">
        <v>41</v>
      </c>
      <c r="C25" s="7" t="s">
        <v>42</v>
      </c>
      <c r="D25" s="7" t="n">
        <f aca="false">COUNTIF(Backlog!$B$2:$B$50,$A25)</f>
        <v>4</v>
      </c>
      <c r="E25" s="7" t="n">
        <f aca="false">SUMIF(Backlog!$B$2:$B$50,$A25,Backlog!$H$2:$H$50)</f>
        <v>18</v>
      </c>
      <c r="F25" s="7" t="n">
        <f aca="false">COUNTIFS(Backlog!$B$2:$B$50,$A25,Backlog!$G$2:$G$50,"Must")</f>
        <v>2</v>
      </c>
      <c r="G25" s="7" t="n">
        <f aca="false">COUNTIFS(Backlog!$B$2:$B$50,$A25,Backlog!$G$2:$G$50,"Should")</f>
        <v>2</v>
      </c>
      <c r="H25" s="7" t="n">
        <f aca="false">COUNTIFS(Backlog!$B$2:$B$50,$A25,Backlog!$G$2:$G$50,"Could")</f>
        <v>0</v>
      </c>
    </row>
    <row r="26" customFormat="false" ht="15" hidden="false" customHeight="false" outlineLevel="0" collapsed="false">
      <c r="B26" s="8" t="s">
        <v>43</v>
      </c>
      <c r="D26" s="9" t="n">
        <f aca="false">SUM(D17:D25)</f>
        <v>49</v>
      </c>
      <c r="E26" s="9" t="n">
        <f aca="false">SUM(E17:E25)</f>
        <v>242</v>
      </c>
      <c r="F26" s="9" t="n">
        <f aca="false">SUM(F17:F25)</f>
        <v>39</v>
      </c>
      <c r="G26" s="9" t="n">
        <f aca="false">SUM(G17:G25)</f>
        <v>9</v>
      </c>
      <c r="H26" s="9" t="n">
        <f aca="false">SUM(H17:H25)</f>
        <v>1</v>
      </c>
    </row>
    <row r="29" customFormat="false" ht="15" hidden="false" customHeight="false" outlineLevel="0" collapsed="false">
      <c r="A29" s="4" t="s">
        <v>44</v>
      </c>
    </row>
    <row r="30" customFormat="false" ht="15" hidden="false" customHeight="false" outlineLevel="0" collapsed="false">
      <c r="A30" s="10" t="s">
        <v>45</v>
      </c>
    </row>
    <row r="31" customFormat="false" ht="15" hidden="false" customHeight="false" outlineLevel="0" collapsed="false">
      <c r="A31" s="10" t="s">
        <v>46</v>
      </c>
    </row>
    <row r="32" customFormat="false" ht="15" hidden="false" customHeight="false" outlineLevel="0" collapsed="false">
      <c r="A32" s="10" t="s">
        <v>47</v>
      </c>
    </row>
    <row r="33" customFormat="false" ht="15" hidden="false" customHeight="false" outlineLevel="0" collapsed="false">
      <c r="A33" s="10" t="s">
        <v>48</v>
      </c>
    </row>
    <row r="34" customFormat="false" ht="15" hidden="false" customHeight="false" outlineLevel="0" collapsed="false">
      <c r="A34" s="10" t="s">
        <v>49</v>
      </c>
    </row>
    <row r="35" customFormat="false" ht="15" hidden="false" customHeight="false" outlineLevel="0" collapsed="false">
      <c r="A35" s="10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26"/>
    <col collapsed="false" customWidth="true" hidden="false" outlineLevel="0" max="4" min="4" style="0" width="17"/>
    <col collapsed="false" customWidth="true" hidden="false" outlineLevel="0" max="5" min="5" style="0" width="40"/>
    <col collapsed="false" customWidth="true" hidden="false" outlineLevel="0" max="6" min="6" style="0" width="70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2" min="11" style="0" width="14"/>
    <col collapsed="false" customWidth="true" hidden="false" outlineLevel="0" max="13" min="13" style="0" width="30"/>
  </cols>
  <sheetData>
    <row r="1" customFormat="false" ht="30" hidden="false" customHeight="true" outlineLevel="0" collapsed="false">
      <c r="A1" s="11" t="s">
        <v>51</v>
      </c>
      <c r="B1" s="11" t="s">
        <v>12</v>
      </c>
      <c r="C1" s="11" t="s">
        <v>52</v>
      </c>
      <c r="D1" s="11" t="s">
        <v>53</v>
      </c>
      <c r="E1" s="11" t="s">
        <v>54</v>
      </c>
      <c r="F1" s="11" t="s">
        <v>55</v>
      </c>
      <c r="G1" s="11" t="s">
        <v>56</v>
      </c>
      <c r="H1" s="11" t="s">
        <v>16</v>
      </c>
      <c r="I1" s="11" t="s">
        <v>57</v>
      </c>
      <c r="J1" s="11" t="s">
        <v>58</v>
      </c>
      <c r="K1" s="11" t="s">
        <v>59</v>
      </c>
      <c r="L1" s="11" t="s">
        <v>60</v>
      </c>
      <c r="M1" s="11" t="s">
        <v>61</v>
      </c>
    </row>
    <row r="2" customFormat="false" ht="35.05" hidden="false" customHeight="false" outlineLevel="0" collapsed="false">
      <c r="A2" s="12" t="s">
        <v>62</v>
      </c>
      <c r="B2" s="13" t="s">
        <v>20</v>
      </c>
      <c r="C2" s="13" t="s">
        <v>21</v>
      </c>
      <c r="D2" s="13" t="s">
        <v>63</v>
      </c>
      <c r="E2" s="14" t="s">
        <v>64</v>
      </c>
      <c r="F2" s="14" t="s">
        <v>65</v>
      </c>
      <c r="G2" s="13" t="s">
        <v>17</v>
      </c>
      <c r="H2" s="13" t="n">
        <v>3</v>
      </c>
      <c r="I2" s="13" t="n">
        <f aca="false">COUNTIF('Acceptance Criteria'!$A$2:$A$500,A2)</f>
        <v>4</v>
      </c>
      <c r="J2" s="15"/>
      <c r="K2" s="15" t="s">
        <v>66</v>
      </c>
      <c r="L2" s="15"/>
      <c r="M2" s="16"/>
    </row>
    <row r="3" customFormat="false" ht="23.85" hidden="false" customHeight="false" outlineLevel="0" collapsed="false">
      <c r="A3" s="12" t="s">
        <v>67</v>
      </c>
      <c r="B3" s="13" t="s">
        <v>20</v>
      </c>
      <c r="C3" s="13" t="s">
        <v>21</v>
      </c>
      <c r="D3" s="13" t="s">
        <v>63</v>
      </c>
      <c r="E3" s="14" t="s">
        <v>68</v>
      </c>
      <c r="F3" s="14" t="s">
        <v>69</v>
      </c>
      <c r="G3" s="13" t="s">
        <v>17</v>
      </c>
      <c r="H3" s="13" t="n">
        <v>5</v>
      </c>
      <c r="I3" s="13" t="n">
        <f aca="false">COUNTIF('Acceptance Criteria'!$A$2:$A$500,A3)</f>
        <v>4</v>
      </c>
      <c r="J3" s="15"/>
      <c r="K3" s="15" t="s">
        <v>66</v>
      </c>
      <c r="L3" s="15"/>
      <c r="M3" s="16"/>
    </row>
    <row r="4" customFormat="false" ht="23.85" hidden="false" customHeight="false" outlineLevel="0" collapsed="false">
      <c r="A4" s="12" t="s">
        <v>70</v>
      </c>
      <c r="B4" s="13" t="s">
        <v>20</v>
      </c>
      <c r="C4" s="13" t="s">
        <v>21</v>
      </c>
      <c r="D4" s="13" t="s">
        <v>63</v>
      </c>
      <c r="E4" s="14" t="s">
        <v>71</v>
      </c>
      <c r="F4" s="14" t="s">
        <v>72</v>
      </c>
      <c r="G4" s="13" t="s">
        <v>17</v>
      </c>
      <c r="H4" s="13" t="n">
        <v>3</v>
      </c>
      <c r="I4" s="13" t="n">
        <f aca="false">COUNTIF('Acceptance Criteria'!$A$2:$A$500,A4)</f>
        <v>4</v>
      </c>
      <c r="J4" s="15"/>
      <c r="K4" s="15" t="s">
        <v>66</v>
      </c>
      <c r="L4" s="15"/>
      <c r="M4" s="16"/>
    </row>
    <row r="5" customFormat="false" ht="35.05" hidden="false" customHeight="false" outlineLevel="0" collapsed="false">
      <c r="A5" s="12" t="s">
        <v>73</v>
      </c>
      <c r="B5" s="13" t="s">
        <v>20</v>
      </c>
      <c r="C5" s="13" t="s">
        <v>21</v>
      </c>
      <c r="D5" s="13" t="s">
        <v>63</v>
      </c>
      <c r="E5" s="14" t="s">
        <v>74</v>
      </c>
      <c r="F5" s="14" t="s">
        <v>75</v>
      </c>
      <c r="G5" s="13" t="s">
        <v>17</v>
      </c>
      <c r="H5" s="13" t="n">
        <v>3</v>
      </c>
      <c r="I5" s="13" t="n">
        <f aca="false">COUNTIF('Acceptance Criteria'!$A$2:$A$500,A5)</f>
        <v>3</v>
      </c>
      <c r="J5" s="15"/>
      <c r="K5" s="15" t="s">
        <v>66</v>
      </c>
      <c r="L5" s="15"/>
      <c r="M5" s="16"/>
    </row>
    <row r="6" customFormat="false" ht="35.05" hidden="false" customHeight="false" outlineLevel="0" collapsed="false">
      <c r="A6" s="12" t="s">
        <v>76</v>
      </c>
      <c r="B6" s="13" t="s">
        <v>20</v>
      </c>
      <c r="C6" s="13" t="s">
        <v>21</v>
      </c>
      <c r="D6" s="13" t="s">
        <v>63</v>
      </c>
      <c r="E6" s="14" t="s">
        <v>77</v>
      </c>
      <c r="F6" s="14" t="s">
        <v>78</v>
      </c>
      <c r="G6" s="13" t="s">
        <v>18</v>
      </c>
      <c r="H6" s="13" t="n">
        <v>2</v>
      </c>
      <c r="I6" s="13" t="n">
        <f aca="false">COUNTIF('Acceptance Criteria'!$A$2:$A$500,A6)</f>
        <v>4</v>
      </c>
      <c r="J6" s="15"/>
      <c r="K6" s="15" t="s">
        <v>66</v>
      </c>
      <c r="L6" s="15"/>
      <c r="M6" s="16"/>
    </row>
    <row r="7" customFormat="false" ht="23.85" hidden="false" customHeight="false" outlineLevel="0" collapsed="false">
      <c r="A7" s="12" t="s">
        <v>79</v>
      </c>
      <c r="B7" s="13" t="s">
        <v>23</v>
      </c>
      <c r="C7" s="13" t="s">
        <v>24</v>
      </c>
      <c r="D7" s="13" t="s">
        <v>63</v>
      </c>
      <c r="E7" s="14" t="s">
        <v>80</v>
      </c>
      <c r="F7" s="14" t="s">
        <v>81</v>
      </c>
      <c r="G7" s="13" t="s">
        <v>17</v>
      </c>
      <c r="H7" s="13" t="n">
        <v>3</v>
      </c>
      <c r="I7" s="13" t="n">
        <f aca="false">COUNTIF('Acceptance Criteria'!$A$2:$A$500,A7)</f>
        <v>4</v>
      </c>
      <c r="J7" s="15"/>
      <c r="K7" s="15" t="s">
        <v>66</v>
      </c>
      <c r="L7" s="15"/>
      <c r="M7" s="16"/>
    </row>
    <row r="8" customFormat="false" ht="35.05" hidden="false" customHeight="false" outlineLevel="0" collapsed="false">
      <c r="A8" s="12" t="s">
        <v>82</v>
      </c>
      <c r="B8" s="13" t="s">
        <v>23</v>
      </c>
      <c r="C8" s="13" t="s">
        <v>24</v>
      </c>
      <c r="D8" s="13" t="s">
        <v>63</v>
      </c>
      <c r="E8" s="14" t="s">
        <v>83</v>
      </c>
      <c r="F8" s="14" t="s">
        <v>84</v>
      </c>
      <c r="G8" s="13" t="s">
        <v>17</v>
      </c>
      <c r="H8" s="13" t="n">
        <v>8</v>
      </c>
      <c r="I8" s="13" t="n">
        <f aca="false">COUNTIF('Acceptance Criteria'!$A$2:$A$500,A8)</f>
        <v>4</v>
      </c>
      <c r="J8" s="15"/>
      <c r="K8" s="15" t="s">
        <v>66</v>
      </c>
      <c r="L8" s="15"/>
      <c r="M8" s="16"/>
    </row>
    <row r="9" customFormat="false" ht="23.85" hidden="false" customHeight="false" outlineLevel="0" collapsed="false">
      <c r="A9" s="12" t="s">
        <v>85</v>
      </c>
      <c r="B9" s="13" t="s">
        <v>23</v>
      </c>
      <c r="C9" s="13" t="s">
        <v>24</v>
      </c>
      <c r="D9" s="13" t="s">
        <v>63</v>
      </c>
      <c r="E9" s="14" t="s">
        <v>86</v>
      </c>
      <c r="F9" s="14" t="s">
        <v>87</v>
      </c>
      <c r="G9" s="13" t="s">
        <v>17</v>
      </c>
      <c r="H9" s="13" t="n">
        <v>5</v>
      </c>
      <c r="I9" s="13" t="n">
        <f aca="false">COUNTIF('Acceptance Criteria'!$A$2:$A$500,A9)</f>
        <v>4</v>
      </c>
      <c r="J9" s="15"/>
      <c r="K9" s="15" t="s">
        <v>66</v>
      </c>
      <c r="L9" s="15"/>
      <c r="M9" s="16"/>
    </row>
    <row r="10" customFormat="false" ht="23.85" hidden="false" customHeight="false" outlineLevel="0" collapsed="false">
      <c r="A10" s="12" t="s">
        <v>88</v>
      </c>
      <c r="B10" s="13" t="s">
        <v>26</v>
      </c>
      <c r="C10" s="13" t="s">
        <v>27</v>
      </c>
      <c r="D10" s="13" t="s">
        <v>63</v>
      </c>
      <c r="E10" s="14" t="s">
        <v>89</v>
      </c>
      <c r="F10" s="14" t="s">
        <v>90</v>
      </c>
      <c r="G10" s="13" t="s">
        <v>17</v>
      </c>
      <c r="H10" s="13" t="n">
        <v>5</v>
      </c>
      <c r="I10" s="13" t="n">
        <f aca="false">COUNTIF('Acceptance Criteria'!$A$2:$A$500,A10)</f>
        <v>4</v>
      </c>
      <c r="J10" s="15"/>
      <c r="K10" s="15" t="s">
        <v>66</v>
      </c>
      <c r="L10" s="15"/>
      <c r="M10" s="16"/>
    </row>
    <row r="11" customFormat="false" ht="35.05" hidden="false" customHeight="false" outlineLevel="0" collapsed="false">
      <c r="A11" s="12" t="s">
        <v>91</v>
      </c>
      <c r="B11" s="13" t="s">
        <v>26</v>
      </c>
      <c r="C11" s="13" t="s">
        <v>27</v>
      </c>
      <c r="D11" s="13" t="s">
        <v>63</v>
      </c>
      <c r="E11" s="14" t="s">
        <v>92</v>
      </c>
      <c r="F11" s="14" t="s">
        <v>93</v>
      </c>
      <c r="G11" s="13" t="s">
        <v>17</v>
      </c>
      <c r="H11" s="13" t="n">
        <v>8</v>
      </c>
      <c r="I11" s="13" t="n">
        <f aca="false">COUNTIF('Acceptance Criteria'!$A$2:$A$500,A11)</f>
        <v>4</v>
      </c>
      <c r="J11" s="15"/>
      <c r="K11" s="15" t="s">
        <v>66</v>
      </c>
      <c r="L11" s="15"/>
      <c r="M11" s="16"/>
    </row>
    <row r="12" customFormat="false" ht="23.85" hidden="false" customHeight="false" outlineLevel="0" collapsed="false">
      <c r="A12" s="12" t="s">
        <v>94</v>
      </c>
      <c r="B12" s="13" t="s">
        <v>26</v>
      </c>
      <c r="C12" s="13" t="s">
        <v>27</v>
      </c>
      <c r="D12" s="13" t="s">
        <v>63</v>
      </c>
      <c r="E12" s="14" t="s">
        <v>95</v>
      </c>
      <c r="F12" s="14" t="s">
        <v>96</v>
      </c>
      <c r="G12" s="13" t="s">
        <v>17</v>
      </c>
      <c r="H12" s="13" t="n">
        <v>5</v>
      </c>
      <c r="I12" s="13" t="n">
        <f aca="false">COUNTIF('Acceptance Criteria'!$A$2:$A$500,A12)</f>
        <v>4</v>
      </c>
      <c r="J12" s="15"/>
      <c r="K12" s="15" t="s">
        <v>66</v>
      </c>
      <c r="L12" s="15"/>
      <c r="M12" s="16"/>
    </row>
    <row r="13" customFormat="false" ht="23.85" hidden="false" customHeight="false" outlineLevel="0" collapsed="false">
      <c r="A13" s="12" t="s">
        <v>97</v>
      </c>
      <c r="B13" s="13" t="s">
        <v>26</v>
      </c>
      <c r="C13" s="13" t="s">
        <v>27</v>
      </c>
      <c r="D13" s="13" t="s">
        <v>63</v>
      </c>
      <c r="E13" s="14" t="s">
        <v>98</v>
      </c>
      <c r="F13" s="14" t="s">
        <v>99</v>
      </c>
      <c r="G13" s="13" t="s">
        <v>17</v>
      </c>
      <c r="H13" s="13" t="n">
        <v>5</v>
      </c>
      <c r="I13" s="13" t="n">
        <f aca="false">COUNTIF('Acceptance Criteria'!$A$2:$A$500,A13)</f>
        <v>4</v>
      </c>
      <c r="J13" s="15"/>
      <c r="K13" s="15" t="s">
        <v>66</v>
      </c>
      <c r="L13" s="15"/>
      <c r="M13" s="16"/>
    </row>
    <row r="14" customFormat="false" ht="23.85" hidden="false" customHeight="false" outlineLevel="0" collapsed="false">
      <c r="A14" s="12" t="s">
        <v>100</v>
      </c>
      <c r="B14" s="13" t="s">
        <v>26</v>
      </c>
      <c r="C14" s="13" t="s">
        <v>27</v>
      </c>
      <c r="D14" s="13" t="s">
        <v>63</v>
      </c>
      <c r="E14" s="14" t="s">
        <v>101</v>
      </c>
      <c r="F14" s="14" t="s">
        <v>102</v>
      </c>
      <c r="G14" s="13" t="s">
        <v>17</v>
      </c>
      <c r="H14" s="13" t="n">
        <v>8</v>
      </c>
      <c r="I14" s="13" t="n">
        <f aca="false">COUNTIF('Acceptance Criteria'!$A$2:$A$500,A14)</f>
        <v>5</v>
      </c>
      <c r="J14" s="15"/>
      <c r="K14" s="15" t="s">
        <v>66</v>
      </c>
      <c r="L14" s="15"/>
      <c r="M14" s="16"/>
    </row>
    <row r="15" customFormat="false" ht="35.05" hidden="false" customHeight="false" outlineLevel="0" collapsed="false">
      <c r="A15" s="12" t="s">
        <v>103</v>
      </c>
      <c r="B15" s="13" t="s">
        <v>26</v>
      </c>
      <c r="C15" s="13" t="s">
        <v>27</v>
      </c>
      <c r="D15" s="13" t="s">
        <v>63</v>
      </c>
      <c r="E15" s="14" t="s">
        <v>104</v>
      </c>
      <c r="F15" s="14" t="s">
        <v>105</v>
      </c>
      <c r="G15" s="13" t="s">
        <v>17</v>
      </c>
      <c r="H15" s="13" t="n">
        <v>5</v>
      </c>
      <c r="I15" s="13" t="n">
        <f aca="false">COUNTIF('Acceptance Criteria'!$A$2:$A$500,A15)</f>
        <v>4</v>
      </c>
      <c r="J15" s="15"/>
      <c r="K15" s="15" t="s">
        <v>66</v>
      </c>
      <c r="L15" s="15"/>
      <c r="M15" s="16"/>
    </row>
    <row r="16" customFormat="false" ht="23.85" hidden="false" customHeight="false" outlineLevel="0" collapsed="false">
      <c r="A16" s="12" t="s">
        <v>106</v>
      </c>
      <c r="B16" s="13" t="s">
        <v>26</v>
      </c>
      <c r="C16" s="13" t="s">
        <v>27</v>
      </c>
      <c r="D16" s="13" t="s">
        <v>63</v>
      </c>
      <c r="E16" s="14" t="s">
        <v>107</v>
      </c>
      <c r="F16" s="14" t="s">
        <v>108</v>
      </c>
      <c r="G16" s="13" t="s">
        <v>17</v>
      </c>
      <c r="H16" s="13" t="n">
        <v>5</v>
      </c>
      <c r="I16" s="13" t="n">
        <f aca="false">COUNTIF('Acceptance Criteria'!$A$2:$A$500,A16)</f>
        <v>4</v>
      </c>
      <c r="J16" s="15"/>
      <c r="K16" s="15" t="s">
        <v>66</v>
      </c>
      <c r="L16" s="15"/>
      <c r="M16" s="16"/>
    </row>
    <row r="17" customFormat="false" ht="35.05" hidden="false" customHeight="false" outlineLevel="0" collapsed="false">
      <c r="A17" s="12" t="s">
        <v>109</v>
      </c>
      <c r="B17" s="13" t="s">
        <v>26</v>
      </c>
      <c r="C17" s="13" t="s">
        <v>27</v>
      </c>
      <c r="D17" s="13" t="s">
        <v>63</v>
      </c>
      <c r="E17" s="14" t="s">
        <v>110</v>
      </c>
      <c r="F17" s="14" t="s">
        <v>111</v>
      </c>
      <c r="G17" s="13" t="s">
        <v>17</v>
      </c>
      <c r="H17" s="13" t="n">
        <v>3</v>
      </c>
      <c r="I17" s="13" t="n">
        <f aca="false">COUNTIF('Acceptance Criteria'!$A$2:$A$500,A17)</f>
        <v>4</v>
      </c>
      <c r="J17" s="15"/>
      <c r="K17" s="15" t="s">
        <v>66</v>
      </c>
      <c r="L17" s="15"/>
      <c r="M17" s="16"/>
    </row>
    <row r="18" customFormat="false" ht="35.05" hidden="false" customHeight="false" outlineLevel="0" collapsed="false">
      <c r="A18" s="12" t="s">
        <v>112</v>
      </c>
      <c r="B18" s="13" t="s">
        <v>26</v>
      </c>
      <c r="C18" s="13" t="s">
        <v>27</v>
      </c>
      <c r="D18" s="13" t="s">
        <v>63</v>
      </c>
      <c r="E18" s="14" t="s">
        <v>113</v>
      </c>
      <c r="F18" s="14" t="s">
        <v>114</v>
      </c>
      <c r="G18" s="13" t="s">
        <v>17</v>
      </c>
      <c r="H18" s="13" t="n">
        <v>5</v>
      </c>
      <c r="I18" s="13" t="n">
        <f aca="false">COUNTIF('Acceptance Criteria'!$A$2:$A$500,A18)</f>
        <v>4</v>
      </c>
      <c r="J18" s="15"/>
      <c r="K18" s="15" t="s">
        <v>66</v>
      </c>
      <c r="L18" s="15"/>
      <c r="M18" s="16"/>
    </row>
    <row r="19" customFormat="false" ht="23.85" hidden="false" customHeight="false" outlineLevel="0" collapsed="false">
      <c r="A19" s="12" t="s">
        <v>115</v>
      </c>
      <c r="B19" s="13" t="s">
        <v>26</v>
      </c>
      <c r="C19" s="13" t="s">
        <v>27</v>
      </c>
      <c r="D19" s="13" t="s">
        <v>63</v>
      </c>
      <c r="E19" s="14" t="s">
        <v>116</v>
      </c>
      <c r="F19" s="14" t="s">
        <v>117</v>
      </c>
      <c r="G19" s="13" t="s">
        <v>17</v>
      </c>
      <c r="H19" s="13" t="n">
        <v>3</v>
      </c>
      <c r="I19" s="13" t="n">
        <f aca="false">COUNTIF('Acceptance Criteria'!$A$2:$A$500,A19)</f>
        <v>5</v>
      </c>
      <c r="J19" s="15"/>
      <c r="K19" s="15" t="s">
        <v>66</v>
      </c>
      <c r="L19" s="15"/>
      <c r="M19" s="16"/>
    </row>
    <row r="20" customFormat="false" ht="23.85" hidden="false" customHeight="false" outlineLevel="0" collapsed="false">
      <c r="A20" s="12" t="s">
        <v>118</v>
      </c>
      <c r="B20" s="13" t="s">
        <v>28</v>
      </c>
      <c r="C20" s="13" t="s">
        <v>29</v>
      </c>
      <c r="D20" s="13" t="s">
        <v>63</v>
      </c>
      <c r="E20" s="14" t="s">
        <v>119</v>
      </c>
      <c r="F20" s="14" t="s">
        <v>120</v>
      </c>
      <c r="G20" s="13" t="s">
        <v>17</v>
      </c>
      <c r="H20" s="13" t="n">
        <v>5</v>
      </c>
      <c r="I20" s="13" t="n">
        <f aca="false">COUNTIF('Acceptance Criteria'!$A$2:$A$500,A20)</f>
        <v>4</v>
      </c>
      <c r="J20" s="15"/>
      <c r="K20" s="15" t="s">
        <v>66</v>
      </c>
      <c r="L20" s="15"/>
      <c r="M20" s="16"/>
    </row>
    <row r="21" customFormat="false" ht="23.85" hidden="false" customHeight="false" outlineLevel="0" collapsed="false">
      <c r="A21" s="12" t="s">
        <v>121</v>
      </c>
      <c r="B21" s="13" t="s">
        <v>28</v>
      </c>
      <c r="C21" s="13" t="s">
        <v>29</v>
      </c>
      <c r="D21" s="13" t="s">
        <v>63</v>
      </c>
      <c r="E21" s="14" t="s">
        <v>122</v>
      </c>
      <c r="F21" s="14" t="s">
        <v>123</v>
      </c>
      <c r="G21" s="13" t="s">
        <v>17</v>
      </c>
      <c r="H21" s="13" t="n">
        <v>8</v>
      </c>
      <c r="I21" s="13" t="n">
        <f aca="false">COUNTIF('Acceptance Criteria'!$A$2:$A$500,A21)</f>
        <v>5</v>
      </c>
      <c r="J21" s="15"/>
      <c r="K21" s="15" t="s">
        <v>66</v>
      </c>
      <c r="L21" s="15"/>
      <c r="M21" s="16"/>
    </row>
    <row r="22" customFormat="false" ht="35.05" hidden="false" customHeight="false" outlineLevel="0" collapsed="false">
      <c r="A22" s="12" t="s">
        <v>124</v>
      </c>
      <c r="B22" s="13" t="s">
        <v>28</v>
      </c>
      <c r="C22" s="13" t="s">
        <v>29</v>
      </c>
      <c r="D22" s="13" t="s">
        <v>63</v>
      </c>
      <c r="E22" s="14" t="s">
        <v>125</v>
      </c>
      <c r="F22" s="14" t="s">
        <v>126</v>
      </c>
      <c r="G22" s="13" t="s">
        <v>17</v>
      </c>
      <c r="H22" s="13" t="n">
        <v>5</v>
      </c>
      <c r="I22" s="13" t="n">
        <f aca="false">COUNTIF('Acceptance Criteria'!$A$2:$A$500,A22)</f>
        <v>4</v>
      </c>
      <c r="J22" s="15"/>
      <c r="K22" s="15" t="s">
        <v>66</v>
      </c>
      <c r="L22" s="15"/>
      <c r="M22" s="16"/>
    </row>
    <row r="23" customFormat="false" ht="35.05" hidden="false" customHeight="false" outlineLevel="0" collapsed="false">
      <c r="A23" s="12" t="s">
        <v>127</v>
      </c>
      <c r="B23" s="13" t="s">
        <v>28</v>
      </c>
      <c r="C23" s="13" t="s">
        <v>29</v>
      </c>
      <c r="D23" s="13" t="s">
        <v>63</v>
      </c>
      <c r="E23" s="14" t="s">
        <v>128</v>
      </c>
      <c r="F23" s="14" t="s">
        <v>129</v>
      </c>
      <c r="G23" s="13" t="s">
        <v>17</v>
      </c>
      <c r="H23" s="13" t="n">
        <v>8</v>
      </c>
      <c r="I23" s="13" t="n">
        <f aca="false">COUNTIF('Acceptance Criteria'!$A$2:$A$500,A23)</f>
        <v>5</v>
      </c>
      <c r="J23" s="15"/>
      <c r="K23" s="15" t="s">
        <v>66</v>
      </c>
      <c r="L23" s="15"/>
      <c r="M23" s="16"/>
    </row>
    <row r="24" customFormat="false" ht="23.85" hidden="false" customHeight="false" outlineLevel="0" collapsed="false">
      <c r="A24" s="12" t="s">
        <v>130</v>
      </c>
      <c r="B24" s="13" t="s">
        <v>28</v>
      </c>
      <c r="C24" s="13" t="s">
        <v>29</v>
      </c>
      <c r="D24" s="13" t="s">
        <v>63</v>
      </c>
      <c r="E24" s="14" t="s">
        <v>131</v>
      </c>
      <c r="F24" s="14" t="s">
        <v>132</v>
      </c>
      <c r="G24" s="13" t="s">
        <v>17</v>
      </c>
      <c r="H24" s="13" t="n">
        <v>5</v>
      </c>
      <c r="I24" s="13" t="n">
        <f aca="false">COUNTIF('Acceptance Criteria'!$A$2:$A$500,A24)</f>
        <v>4</v>
      </c>
      <c r="J24" s="15"/>
      <c r="K24" s="15" t="s">
        <v>66</v>
      </c>
      <c r="L24" s="15"/>
      <c r="M24" s="16"/>
    </row>
    <row r="25" customFormat="false" ht="23.85" hidden="false" customHeight="false" outlineLevel="0" collapsed="false">
      <c r="A25" s="12" t="s">
        <v>133</v>
      </c>
      <c r="B25" s="13" t="s">
        <v>28</v>
      </c>
      <c r="C25" s="13" t="s">
        <v>29</v>
      </c>
      <c r="D25" s="13" t="s">
        <v>63</v>
      </c>
      <c r="E25" s="14" t="s">
        <v>134</v>
      </c>
      <c r="F25" s="14" t="s">
        <v>135</v>
      </c>
      <c r="G25" s="13" t="s">
        <v>18</v>
      </c>
      <c r="H25" s="13" t="n">
        <v>5</v>
      </c>
      <c r="I25" s="13" t="n">
        <f aca="false">COUNTIF('Acceptance Criteria'!$A$2:$A$500,A25)</f>
        <v>4</v>
      </c>
      <c r="J25" s="15"/>
      <c r="K25" s="15" t="s">
        <v>66</v>
      </c>
      <c r="L25" s="15"/>
      <c r="M25" s="16"/>
    </row>
    <row r="26" customFormat="false" ht="23.85" hidden="false" customHeight="false" outlineLevel="0" collapsed="false">
      <c r="A26" s="12" t="s">
        <v>136</v>
      </c>
      <c r="B26" s="13" t="s">
        <v>28</v>
      </c>
      <c r="C26" s="13" t="s">
        <v>29</v>
      </c>
      <c r="D26" s="13" t="s">
        <v>63</v>
      </c>
      <c r="E26" s="14" t="s">
        <v>137</v>
      </c>
      <c r="F26" s="14" t="s">
        <v>138</v>
      </c>
      <c r="G26" s="13" t="s">
        <v>17</v>
      </c>
      <c r="H26" s="13" t="n">
        <v>3</v>
      </c>
      <c r="I26" s="13" t="n">
        <f aca="false">COUNTIF('Acceptance Criteria'!$A$2:$A$500,A26)</f>
        <v>4</v>
      </c>
      <c r="J26" s="15"/>
      <c r="K26" s="15" t="s">
        <v>66</v>
      </c>
      <c r="L26" s="15"/>
      <c r="M26" s="16"/>
    </row>
    <row r="27" customFormat="false" ht="23.85" hidden="false" customHeight="false" outlineLevel="0" collapsed="false">
      <c r="A27" s="12" t="s">
        <v>139</v>
      </c>
      <c r="B27" s="13" t="s">
        <v>30</v>
      </c>
      <c r="C27" s="13" t="s">
        <v>31</v>
      </c>
      <c r="D27" s="13" t="s">
        <v>63</v>
      </c>
      <c r="E27" s="14" t="s">
        <v>140</v>
      </c>
      <c r="F27" s="14" t="s">
        <v>141</v>
      </c>
      <c r="G27" s="13" t="s">
        <v>17</v>
      </c>
      <c r="H27" s="13" t="n">
        <v>5</v>
      </c>
      <c r="I27" s="13" t="n">
        <f aca="false">COUNTIF('Acceptance Criteria'!$A$2:$A$500,A27)</f>
        <v>4</v>
      </c>
      <c r="J27" s="15"/>
      <c r="K27" s="15" t="s">
        <v>66</v>
      </c>
      <c r="L27" s="15"/>
      <c r="M27" s="16"/>
    </row>
    <row r="28" customFormat="false" ht="23.85" hidden="false" customHeight="false" outlineLevel="0" collapsed="false">
      <c r="A28" s="12" t="s">
        <v>142</v>
      </c>
      <c r="B28" s="13" t="s">
        <v>30</v>
      </c>
      <c r="C28" s="13" t="s">
        <v>31</v>
      </c>
      <c r="D28" s="13" t="s">
        <v>63</v>
      </c>
      <c r="E28" s="14" t="s">
        <v>143</v>
      </c>
      <c r="F28" s="14" t="s">
        <v>144</v>
      </c>
      <c r="G28" s="13" t="s">
        <v>17</v>
      </c>
      <c r="H28" s="13" t="n">
        <v>3</v>
      </c>
      <c r="I28" s="13" t="n">
        <f aca="false">COUNTIF('Acceptance Criteria'!$A$2:$A$500,A28)</f>
        <v>4</v>
      </c>
      <c r="J28" s="15"/>
      <c r="K28" s="15" t="s">
        <v>66</v>
      </c>
      <c r="L28" s="15"/>
      <c r="M28" s="16"/>
    </row>
    <row r="29" customFormat="false" ht="23.85" hidden="false" customHeight="false" outlineLevel="0" collapsed="false">
      <c r="A29" s="12" t="s">
        <v>145</v>
      </c>
      <c r="B29" s="13" t="s">
        <v>30</v>
      </c>
      <c r="C29" s="13" t="s">
        <v>31</v>
      </c>
      <c r="D29" s="13" t="s">
        <v>63</v>
      </c>
      <c r="E29" s="14" t="s">
        <v>146</v>
      </c>
      <c r="F29" s="14" t="s">
        <v>147</v>
      </c>
      <c r="G29" s="13" t="s">
        <v>17</v>
      </c>
      <c r="H29" s="13" t="n">
        <v>5</v>
      </c>
      <c r="I29" s="13" t="n">
        <f aca="false">COUNTIF('Acceptance Criteria'!$A$2:$A$500,A29)</f>
        <v>4</v>
      </c>
      <c r="J29" s="15"/>
      <c r="K29" s="15" t="s">
        <v>66</v>
      </c>
      <c r="L29" s="15"/>
      <c r="M29" s="16"/>
    </row>
    <row r="30" customFormat="false" ht="23.85" hidden="false" customHeight="false" outlineLevel="0" collapsed="false">
      <c r="A30" s="12" t="s">
        <v>148</v>
      </c>
      <c r="B30" s="13" t="s">
        <v>30</v>
      </c>
      <c r="C30" s="13" t="s">
        <v>31</v>
      </c>
      <c r="D30" s="13" t="s">
        <v>63</v>
      </c>
      <c r="E30" s="14" t="s">
        <v>149</v>
      </c>
      <c r="F30" s="14" t="s">
        <v>150</v>
      </c>
      <c r="G30" s="13" t="s">
        <v>18</v>
      </c>
      <c r="H30" s="13" t="n">
        <v>3</v>
      </c>
      <c r="I30" s="13" t="n">
        <f aca="false">COUNTIF('Acceptance Criteria'!$A$2:$A$500,A30)</f>
        <v>3</v>
      </c>
      <c r="J30" s="15"/>
      <c r="K30" s="15" t="s">
        <v>66</v>
      </c>
      <c r="L30" s="15"/>
      <c r="M30" s="16"/>
    </row>
    <row r="31" customFormat="false" ht="23.85" hidden="false" customHeight="false" outlineLevel="0" collapsed="false">
      <c r="A31" s="12" t="s">
        <v>151</v>
      </c>
      <c r="B31" s="13" t="s">
        <v>30</v>
      </c>
      <c r="C31" s="13" t="s">
        <v>31</v>
      </c>
      <c r="D31" s="13" t="s">
        <v>63</v>
      </c>
      <c r="E31" s="14" t="s">
        <v>152</v>
      </c>
      <c r="F31" s="14" t="s">
        <v>153</v>
      </c>
      <c r="G31" s="13" t="s">
        <v>18</v>
      </c>
      <c r="H31" s="13" t="n">
        <v>2</v>
      </c>
      <c r="I31" s="13" t="n">
        <f aca="false">COUNTIF('Acceptance Criteria'!$A$2:$A$500,A31)</f>
        <v>3</v>
      </c>
      <c r="J31" s="15"/>
      <c r="K31" s="15" t="s">
        <v>66</v>
      </c>
      <c r="L31" s="15"/>
      <c r="M31" s="16"/>
    </row>
    <row r="32" customFormat="false" ht="23.85" hidden="false" customHeight="false" outlineLevel="0" collapsed="false">
      <c r="A32" s="12" t="s">
        <v>154</v>
      </c>
      <c r="B32" s="13" t="s">
        <v>30</v>
      </c>
      <c r="C32" s="13" t="s">
        <v>31</v>
      </c>
      <c r="D32" s="13" t="s">
        <v>63</v>
      </c>
      <c r="E32" s="14" t="s">
        <v>155</v>
      </c>
      <c r="F32" s="14" t="s">
        <v>156</v>
      </c>
      <c r="G32" s="13" t="s">
        <v>18</v>
      </c>
      <c r="H32" s="13" t="n">
        <v>5</v>
      </c>
      <c r="I32" s="13" t="n">
        <f aca="false">COUNTIF('Acceptance Criteria'!$A$2:$A$500,A32)</f>
        <v>4</v>
      </c>
      <c r="J32" s="15"/>
      <c r="K32" s="15" t="s">
        <v>66</v>
      </c>
      <c r="L32" s="15"/>
      <c r="M32" s="16"/>
    </row>
    <row r="33" customFormat="false" ht="35.05" hidden="false" customHeight="false" outlineLevel="0" collapsed="false">
      <c r="A33" s="12" t="s">
        <v>157</v>
      </c>
      <c r="B33" s="13" t="s">
        <v>32</v>
      </c>
      <c r="C33" s="13" t="s">
        <v>33</v>
      </c>
      <c r="D33" s="13" t="s">
        <v>158</v>
      </c>
      <c r="E33" s="14" t="s">
        <v>159</v>
      </c>
      <c r="F33" s="14" t="s">
        <v>160</v>
      </c>
      <c r="G33" s="13" t="s">
        <v>17</v>
      </c>
      <c r="H33" s="13" t="n">
        <v>5</v>
      </c>
      <c r="I33" s="13" t="n">
        <f aca="false">COUNTIF('Acceptance Criteria'!$A$2:$A$500,A33)</f>
        <v>5</v>
      </c>
      <c r="J33" s="15"/>
      <c r="K33" s="15" t="s">
        <v>66</v>
      </c>
      <c r="L33" s="15"/>
      <c r="M33" s="16"/>
    </row>
    <row r="34" customFormat="false" ht="23.85" hidden="false" customHeight="false" outlineLevel="0" collapsed="false">
      <c r="A34" s="12" t="s">
        <v>161</v>
      </c>
      <c r="B34" s="13" t="s">
        <v>32</v>
      </c>
      <c r="C34" s="13" t="s">
        <v>33</v>
      </c>
      <c r="D34" s="13" t="s">
        <v>158</v>
      </c>
      <c r="E34" s="14" t="s">
        <v>162</v>
      </c>
      <c r="F34" s="14" t="s">
        <v>163</v>
      </c>
      <c r="G34" s="13" t="s">
        <v>17</v>
      </c>
      <c r="H34" s="13" t="n">
        <v>8</v>
      </c>
      <c r="I34" s="13" t="n">
        <f aca="false">COUNTIF('Acceptance Criteria'!$A$2:$A$500,A34)</f>
        <v>5</v>
      </c>
      <c r="J34" s="15"/>
      <c r="K34" s="15" t="s">
        <v>66</v>
      </c>
      <c r="L34" s="15"/>
      <c r="M34" s="16"/>
    </row>
    <row r="35" customFormat="false" ht="23.85" hidden="false" customHeight="false" outlineLevel="0" collapsed="false">
      <c r="A35" s="12" t="s">
        <v>164</v>
      </c>
      <c r="B35" s="13" t="s">
        <v>32</v>
      </c>
      <c r="C35" s="13" t="s">
        <v>33</v>
      </c>
      <c r="D35" s="13" t="s">
        <v>158</v>
      </c>
      <c r="E35" s="14" t="s">
        <v>165</v>
      </c>
      <c r="F35" s="14" t="s">
        <v>166</v>
      </c>
      <c r="G35" s="13" t="s">
        <v>17</v>
      </c>
      <c r="H35" s="13" t="n">
        <v>5</v>
      </c>
      <c r="I35" s="13" t="n">
        <f aca="false">COUNTIF('Acceptance Criteria'!$A$2:$A$500,A35)</f>
        <v>5</v>
      </c>
      <c r="J35" s="15"/>
      <c r="K35" s="15" t="s">
        <v>66</v>
      </c>
      <c r="L35" s="15"/>
      <c r="M35" s="16"/>
    </row>
    <row r="36" customFormat="false" ht="23.85" hidden="false" customHeight="false" outlineLevel="0" collapsed="false">
      <c r="A36" s="12" t="s">
        <v>167</v>
      </c>
      <c r="B36" s="13" t="s">
        <v>32</v>
      </c>
      <c r="C36" s="13" t="s">
        <v>33</v>
      </c>
      <c r="D36" s="13" t="s">
        <v>158</v>
      </c>
      <c r="E36" s="14" t="s">
        <v>168</v>
      </c>
      <c r="F36" s="14" t="s">
        <v>169</v>
      </c>
      <c r="G36" s="13" t="s">
        <v>17</v>
      </c>
      <c r="H36" s="13" t="n">
        <v>8</v>
      </c>
      <c r="I36" s="13" t="n">
        <f aca="false">COUNTIF('Acceptance Criteria'!$A$2:$A$500,A36)</f>
        <v>5</v>
      </c>
      <c r="J36" s="15"/>
      <c r="K36" s="15" t="s">
        <v>66</v>
      </c>
      <c r="L36" s="15"/>
      <c r="M36" s="16"/>
    </row>
    <row r="37" customFormat="false" ht="23.85" hidden="false" customHeight="false" outlineLevel="0" collapsed="false">
      <c r="A37" s="12" t="s">
        <v>170</v>
      </c>
      <c r="B37" s="13" t="s">
        <v>35</v>
      </c>
      <c r="C37" s="13" t="s">
        <v>36</v>
      </c>
      <c r="D37" s="13" t="s">
        <v>158</v>
      </c>
      <c r="E37" s="14" t="s">
        <v>171</v>
      </c>
      <c r="F37" s="14" t="s">
        <v>172</v>
      </c>
      <c r="G37" s="13" t="s">
        <v>17</v>
      </c>
      <c r="H37" s="13" t="n">
        <v>5</v>
      </c>
      <c r="I37" s="13" t="n">
        <f aca="false">COUNTIF('Acceptance Criteria'!$A$2:$A$500,A37)</f>
        <v>5</v>
      </c>
      <c r="J37" s="15"/>
      <c r="K37" s="15" t="s">
        <v>66</v>
      </c>
      <c r="L37" s="15"/>
      <c r="M37" s="16"/>
    </row>
    <row r="38" customFormat="false" ht="35.05" hidden="false" customHeight="false" outlineLevel="0" collapsed="false">
      <c r="A38" s="12" t="s">
        <v>173</v>
      </c>
      <c r="B38" s="13" t="s">
        <v>35</v>
      </c>
      <c r="C38" s="13" t="s">
        <v>36</v>
      </c>
      <c r="D38" s="13" t="s">
        <v>158</v>
      </c>
      <c r="E38" s="14" t="s">
        <v>174</v>
      </c>
      <c r="F38" s="14" t="s">
        <v>175</v>
      </c>
      <c r="G38" s="13" t="s">
        <v>17</v>
      </c>
      <c r="H38" s="13" t="n">
        <v>5</v>
      </c>
      <c r="I38" s="13" t="n">
        <f aca="false">COUNTIF('Acceptance Criteria'!$A$2:$A$500,A38)</f>
        <v>5</v>
      </c>
      <c r="J38" s="15"/>
      <c r="K38" s="15" t="s">
        <v>66</v>
      </c>
      <c r="L38" s="15"/>
      <c r="M38" s="16"/>
    </row>
    <row r="39" customFormat="false" ht="23.85" hidden="false" customHeight="false" outlineLevel="0" collapsed="false">
      <c r="A39" s="12" t="s">
        <v>176</v>
      </c>
      <c r="B39" s="13" t="s">
        <v>35</v>
      </c>
      <c r="C39" s="13" t="s">
        <v>36</v>
      </c>
      <c r="D39" s="13" t="s">
        <v>158</v>
      </c>
      <c r="E39" s="14" t="s">
        <v>177</v>
      </c>
      <c r="F39" s="14" t="s">
        <v>178</v>
      </c>
      <c r="G39" s="13" t="s">
        <v>17</v>
      </c>
      <c r="H39" s="13" t="n">
        <v>5</v>
      </c>
      <c r="I39" s="13" t="n">
        <f aca="false">COUNTIF('Acceptance Criteria'!$A$2:$A$500,A39)</f>
        <v>4</v>
      </c>
      <c r="J39" s="15"/>
      <c r="K39" s="15" t="s">
        <v>66</v>
      </c>
      <c r="L39" s="15"/>
      <c r="M39" s="16"/>
    </row>
    <row r="40" customFormat="false" ht="23.85" hidden="false" customHeight="false" outlineLevel="0" collapsed="false">
      <c r="A40" s="12" t="s">
        <v>179</v>
      </c>
      <c r="B40" s="13" t="s">
        <v>35</v>
      </c>
      <c r="C40" s="13" t="s">
        <v>36</v>
      </c>
      <c r="D40" s="13" t="s">
        <v>158</v>
      </c>
      <c r="E40" s="14" t="s">
        <v>180</v>
      </c>
      <c r="F40" s="14" t="s">
        <v>181</v>
      </c>
      <c r="G40" s="13" t="s">
        <v>18</v>
      </c>
      <c r="H40" s="13" t="n">
        <v>5</v>
      </c>
      <c r="I40" s="13" t="n">
        <f aca="false">COUNTIF('Acceptance Criteria'!$A$2:$A$500,A40)</f>
        <v>4</v>
      </c>
      <c r="J40" s="15"/>
      <c r="K40" s="15" t="s">
        <v>66</v>
      </c>
      <c r="L40" s="15"/>
      <c r="M40" s="16"/>
    </row>
    <row r="41" customFormat="false" ht="23.85" hidden="false" customHeight="false" outlineLevel="0" collapsed="false">
      <c r="A41" s="12" t="s">
        <v>182</v>
      </c>
      <c r="B41" s="13" t="s">
        <v>35</v>
      </c>
      <c r="C41" s="13" t="s">
        <v>36</v>
      </c>
      <c r="D41" s="13" t="s">
        <v>158</v>
      </c>
      <c r="E41" s="14" t="s">
        <v>183</v>
      </c>
      <c r="F41" s="14" t="s">
        <v>184</v>
      </c>
      <c r="G41" s="13" t="s">
        <v>18</v>
      </c>
      <c r="H41" s="13" t="n">
        <v>3</v>
      </c>
      <c r="I41" s="13" t="n">
        <f aca="false">COUNTIF('Acceptance Criteria'!$A$2:$A$500,A41)</f>
        <v>3</v>
      </c>
      <c r="J41" s="15"/>
      <c r="K41" s="15" t="s">
        <v>66</v>
      </c>
      <c r="L41" s="15"/>
      <c r="M41" s="16"/>
    </row>
    <row r="42" customFormat="false" ht="35.05" hidden="false" customHeight="false" outlineLevel="0" collapsed="false">
      <c r="A42" s="12" t="s">
        <v>185</v>
      </c>
      <c r="B42" s="13" t="s">
        <v>35</v>
      </c>
      <c r="C42" s="13" t="s">
        <v>36</v>
      </c>
      <c r="D42" s="13" t="s">
        <v>158</v>
      </c>
      <c r="E42" s="14" t="s">
        <v>186</v>
      </c>
      <c r="F42" s="14" t="s">
        <v>187</v>
      </c>
      <c r="G42" s="13" t="s">
        <v>17</v>
      </c>
      <c r="H42" s="13" t="n">
        <v>3</v>
      </c>
      <c r="I42" s="13" t="n">
        <f aca="false">COUNTIF('Acceptance Criteria'!$A$2:$A$500,A42)</f>
        <v>4</v>
      </c>
      <c r="J42" s="15"/>
      <c r="K42" s="15" t="s">
        <v>66</v>
      </c>
      <c r="L42" s="15"/>
      <c r="M42" s="16"/>
    </row>
    <row r="43" customFormat="false" ht="35.05" hidden="false" customHeight="false" outlineLevel="0" collapsed="false">
      <c r="A43" s="12" t="s">
        <v>188</v>
      </c>
      <c r="B43" s="13" t="s">
        <v>35</v>
      </c>
      <c r="C43" s="13" t="s">
        <v>36</v>
      </c>
      <c r="D43" s="13" t="s">
        <v>158</v>
      </c>
      <c r="E43" s="14" t="s">
        <v>189</v>
      </c>
      <c r="F43" s="14" t="s">
        <v>190</v>
      </c>
      <c r="G43" s="13" t="s">
        <v>19</v>
      </c>
      <c r="H43" s="13" t="n">
        <v>5</v>
      </c>
      <c r="I43" s="13" t="n">
        <f aca="false">COUNTIF('Acceptance Criteria'!$A$2:$A$500,A43)</f>
        <v>4</v>
      </c>
      <c r="J43" s="15"/>
      <c r="K43" s="15" t="s">
        <v>66</v>
      </c>
      <c r="L43" s="15"/>
      <c r="M43" s="16"/>
    </row>
    <row r="44" customFormat="false" ht="35.05" hidden="false" customHeight="false" outlineLevel="0" collapsed="false">
      <c r="A44" s="12" t="s">
        <v>191</v>
      </c>
      <c r="B44" s="13" t="s">
        <v>37</v>
      </c>
      <c r="C44" s="13" t="s">
        <v>38</v>
      </c>
      <c r="D44" s="13" t="s">
        <v>192</v>
      </c>
      <c r="E44" s="14" t="s">
        <v>193</v>
      </c>
      <c r="F44" s="14" t="s">
        <v>194</v>
      </c>
      <c r="G44" s="13" t="s">
        <v>17</v>
      </c>
      <c r="H44" s="13" t="n">
        <v>8</v>
      </c>
      <c r="I44" s="13" t="n">
        <f aca="false">COUNTIF('Acceptance Criteria'!$A$2:$A$500,A44)</f>
        <v>5</v>
      </c>
      <c r="J44" s="15"/>
      <c r="K44" s="15" t="s">
        <v>66</v>
      </c>
      <c r="L44" s="15"/>
      <c r="M44" s="16"/>
    </row>
    <row r="45" customFormat="false" ht="35.05" hidden="false" customHeight="false" outlineLevel="0" collapsed="false">
      <c r="A45" s="12" t="s">
        <v>195</v>
      </c>
      <c r="B45" s="13" t="s">
        <v>37</v>
      </c>
      <c r="C45" s="13" t="s">
        <v>38</v>
      </c>
      <c r="D45" s="13" t="s">
        <v>63</v>
      </c>
      <c r="E45" s="14" t="s">
        <v>196</v>
      </c>
      <c r="F45" s="14" t="s">
        <v>197</v>
      </c>
      <c r="G45" s="13" t="s">
        <v>17</v>
      </c>
      <c r="H45" s="13" t="n">
        <v>8</v>
      </c>
      <c r="I45" s="13" t="n">
        <f aca="false">COUNTIF('Acceptance Criteria'!$A$2:$A$500,A45)</f>
        <v>5</v>
      </c>
      <c r="J45" s="15"/>
      <c r="K45" s="15" t="s">
        <v>66</v>
      </c>
      <c r="L45" s="15"/>
      <c r="M45" s="16"/>
    </row>
    <row r="46" customFormat="false" ht="23.85" hidden="false" customHeight="false" outlineLevel="0" collapsed="false">
      <c r="A46" s="12" t="s">
        <v>198</v>
      </c>
      <c r="B46" s="13" t="s">
        <v>37</v>
      </c>
      <c r="C46" s="13" t="s">
        <v>38</v>
      </c>
      <c r="D46" s="13" t="s">
        <v>158</v>
      </c>
      <c r="E46" s="14" t="s">
        <v>199</v>
      </c>
      <c r="F46" s="14" t="s">
        <v>200</v>
      </c>
      <c r="G46" s="13" t="s">
        <v>17</v>
      </c>
      <c r="H46" s="13" t="n">
        <v>5</v>
      </c>
      <c r="I46" s="13" t="n">
        <f aca="false">COUNTIF('Acceptance Criteria'!$A$2:$A$500,A46)</f>
        <v>4</v>
      </c>
      <c r="J46" s="15"/>
      <c r="K46" s="15" t="s">
        <v>66</v>
      </c>
      <c r="L46" s="15"/>
      <c r="M46" s="16"/>
    </row>
    <row r="47" customFormat="false" ht="23.85" hidden="false" customHeight="false" outlineLevel="0" collapsed="false">
      <c r="A47" s="12" t="s">
        <v>201</v>
      </c>
      <c r="B47" s="13" t="s">
        <v>40</v>
      </c>
      <c r="C47" s="13" t="s">
        <v>41</v>
      </c>
      <c r="D47" s="13" t="s">
        <v>158</v>
      </c>
      <c r="E47" s="14" t="s">
        <v>202</v>
      </c>
      <c r="F47" s="14" t="s">
        <v>203</v>
      </c>
      <c r="G47" s="13" t="s">
        <v>17</v>
      </c>
      <c r="H47" s="13" t="n">
        <v>5</v>
      </c>
      <c r="I47" s="13" t="n">
        <f aca="false">COUNTIF('Acceptance Criteria'!$A$2:$A$500,A47)</f>
        <v>5</v>
      </c>
      <c r="J47" s="15"/>
      <c r="K47" s="15" t="s">
        <v>66</v>
      </c>
      <c r="L47" s="15"/>
      <c r="M47" s="16"/>
    </row>
    <row r="48" customFormat="false" ht="23.85" hidden="false" customHeight="false" outlineLevel="0" collapsed="false">
      <c r="A48" s="12" t="s">
        <v>204</v>
      </c>
      <c r="B48" s="13" t="s">
        <v>40</v>
      </c>
      <c r="C48" s="13" t="s">
        <v>41</v>
      </c>
      <c r="D48" s="13" t="s">
        <v>158</v>
      </c>
      <c r="E48" s="14" t="s">
        <v>205</v>
      </c>
      <c r="F48" s="14" t="s">
        <v>206</v>
      </c>
      <c r="G48" s="13" t="s">
        <v>18</v>
      </c>
      <c r="H48" s="13" t="n">
        <v>5</v>
      </c>
      <c r="I48" s="13" t="n">
        <f aca="false">COUNTIF('Acceptance Criteria'!$A$2:$A$500,A48)</f>
        <v>5</v>
      </c>
      <c r="J48" s="15"/>
      <c r="K48" s="15" t="s">
        <v>66</v>
      </c>
      <c r="L48" s="15"/>
      <c r="M48" s="16"/>
    </row>
    <row r="49" customFormat="false" ht="23.85" hidden="false" customHeight="false" outlineLevel="0" collapsed="false">
      <c r="A49" s="12" t="s">
        <v>207</v>
      </c>
      <c r="B49" s="13" t="s">
        <v>40</v>
      </c>
      <c r="C49" s="13" t="s">
        <v>41</v>
      </c>
      <c r="D49" s="13" t="s">
        <v>42</v>
      </c>
      <c r="E49" s="14" t="s">
        <v>208</v>
      </c>
      <c r="F49" s="14" t="s">
        <v>209</v>
      </c>
      <c r="G49" s="13" t="s">
        <v>17</v>
      </c>
      <c r="H49" s="13" t="n">
        <v>5</v>
      </c>
      <c r="I49" s="13" t="n">
        <f aca="false">COUNTIF('Acceptance Criteria'!$A$2:$A$500,A49)</f>
        <v>4</v>
      </c>
      <c r="J49" s="15"/>
      <c r="K49" s="15" t="s">
        <v>66</v>
      </c>
      <c r="L49" s="15"/>
      <c r="M49" s="16"/>
    </row>
    <row r="50" customFormat="false" ht="23.85" hidden="false" customHeight="false" outlineLevel="0" collapsed="false">
      <c r="A50" s="12" t="s">
        <v>210</v>
      </c>
      <c r="B50" s="13" t="s">
        <v>40</v>
      </c>
      <c r="C50" s="13" t="s">
        <v>41</v>
      </c>
      <c r="D50" s="13" t="s">
        <v>42</v>
      </c>
      <c r="E50" s="14" t="s">
        <v>211</v>
      </c>
      <c r="F50" s="14" t="s">
        <v>212</v>
      </c>
      <c r="G50" s="13" t="s">
        <v>18</v>
      </c>
      <c r="H50" s="13" t="n">
        <v>3</v>
      </c>
      <c r="I50" s="13" t="n">
        <f aca="false">COUNTIF('Acceptance Criteria'!$A$2:$A$500,A50)</f>
        <v>4</v>
      </c>
      <c r="J50" s="15"/>
      <c r="K50" s="15" t="s">
        <v>66</v>
      </c>
      <c r="L50" s="15"/>
      <c r="M50" s="16"/>
    </row>
  </sheetData>
  <autoFilter ref="A1:M50"/>
  <dataValidations count="1">
    <dataValidation allowBlank="true" errorStyle="stop" operator="between" showDropDown="false" showErrorMessage="false" showInputMessage="false" sqref="K2:K50" type="list">
      <formula1>"Not started,In refinement,Ready,In progress,In test,Done,Deferred"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40"/>
    <col collapsed="false" customWidth="true" hidden="false" outlineLevel="0" max="4" min="4" style="0" width="7"/>
    <col collapsed="false" customWidth="true" hidden="false" outlineLevel="0" max="5" min="5" style="0" width="100"/>
    <col collapsed="false" customWidth="true" hidden="false" outlineLevel="0" max="6" min="6" style="0" width="14"/>
    <col collapsed="false" customWidth="true" hidden="false" outlineLevel="0" max="7" min="7" style="0" width="11"/>
  </cols>
  <sheetData>
    <row r="1" customFormat="false" ht="30" hidden="false" customHeight="true" outlineLevel="0" collapsed="false">
      <c r="A1" s="11" t="s">
        <v>51</v>
      </c>
      <c r="B1" s="11" t="s">
        <v>12</v>
      </c>
      <c r="C1" s="11" t="s">
        <v>213</v>
      </c>
      <c r="D1" s="11" t="s">
        <v>214</v>
      </c>
      <c r="E1" s="11" t="s">
        <v>215</v>
      </c>
      <c r="F1" s="11" t="s">
        <v>216</v>
      </c>
      <c r="G1" s="11" t="s">
        <v>217</v>
      </c>
    </row>
    <row r="2" customFormat="false" ht="23.85" hidden="false" customHeight="false" outlineLevel="0" collapsed="false">
      <c r="A2" s="12" t="s">
        <v>62</v>
      </c>
      <c r="B2" s="13" t="s">
        <v>20</v>
      </c>
      <c r="C2" s="14" t="s">
        <v>64</v>
      </c>
      <c r="D2" s="13" t="n">
        <v>1</v>
      </c>
      <c r="E2" s="14" t="s">
        <v>218</v>
      </c>
      <c r="F2" s="15"/>
      <c r="G2" s="15"/>
    </row>
    <row r="3" customFormat="false" ht="23.85" hidden="false" customHeight="false" outlineLevel="0" collapsed="false">
      <c r="A3" s="12" t="s">
        <v>62</v>
      </c>
      <c r="B3" s="13" t="s">
        <v>20</v>
      </c>
      <c r="C3" s="14" t="s">
        <v>64</v>
      </c>
      <c r="D3" s="13" t="n">
        <v>2</v>
      </c>
      <c r="E3" s="14" t="s">
        <v>219</v>
      </c>
      <c r="F3" s="15"/>
      <c r="G3" s="15"/>
    </row>
    <row r="4" customFormat="false" ht="15" hidden="false" customHeight="false" outlineLevel="0" collapsed="false">
      <c r="A4" s="12" t="s">
        <v>62</v>
      </c>
      <c r="B4" s="13" t="s">
        <v>20</v>
      </c>
      <c r="C4" s="14" t="s">
        <v>64</v>
      </c>
      <c r="D4" s="13" t="n">
        <v>3</v>
      </c>
      <c r="E4" s="14" t="s">
        <v>220</v>
      </c>
      <c r="F4" s="15"/>
      <c r="G4" s="15"/>
    </row>
    <row r="5" customFormat="false" ht="15" hidden="false" customHeight="false" outlineLevel="0" collapsed="false">
      <c r="A5" s="12" t="s">
        <v>62</v>
      </c>
      <c r="B5" s="13" t="s">
        <v>20</v>
      </c>
      <c r="C5" s="14" t="s">
        <v>64</v>
      </c>
      <c r="D5" s="13" t="n">
        <v>4</v>
      </c>
      <c r="E5" s="14" t="s">
        <v>221</v>
      </c>
      <c r="F5" s="15"/>
      <c r="G5" s="15"/>
    </row>
    <row r="6" customFormat="false" ht="23.85" hidden="false" customHeight="false" outlineLevel="0" collapsed="false">
      <c r="A6" s="12" t="s">
        <v>67</v>
      </c>
      <c r="B6" s="13" t="s">
        <v>20</v>
      </c>
      <c r="C6" s="14" t="s">
        <v>68</v>
      </c>
      <c r="D6" s="13" t="n">
        <v>1</v>
      </c>
      <c r="E6" s="14" t="s">
        <v>222</v>
      </c>
      <c r="F6" s="15"/>
      <c r="G6" s="15"/>
    </row>
    <row r="7" customFormat="false" ht="23.85" hidden="false" customHeight="false" outlineLevel="0" collapsed="false">
      <c r="A7" s="12" t="s">
        <v>67</v>
      </c>
      <c r="B7" s="13" t="s">
        <v>20</v>
      </c>
      <c r="C7" s="14" t="s">
        <v>68</v>
      </c>
      <c r="D7" s="13" t="n">
        <v>2</v>
      </c>
      <c r="E7" s="14" t="s">
        <v>223</v>
      </c>
      <c r="F7" s="15"/>
      <c r="G7" s="15"/>
    </row>
    <row r="8" customFormat="false" ht="23.85" hidden="false" customHeight="false" outlineLevel="0" collapsed="false">
      <c r="A8" s="12" t="s">
        <v>67</v>
      </c>
      <c r="B8" s="13" t="s">
        <v>20</v>
      </c>
      <c r="C8" s="14" t="s">
        <v>68</v>
      </c>
      <c r="D8" s="13" t="n">
        <v>3</v>
      </c>
      <c r="E8" s="14" t="s">
        <v>224</v>
      </c>
      <c r="F8" s="15"/>
      <c r="G8" s="15"/>
    </row>
    <row r="9" customFormat="false" ht="15" hidden="false" customHeight="false" outlineLevel="0" collapsed="false">
      <c r="A9" s="12" t="s">
        <v>67</v>
      </c>
      <c r="B9" s="13" t="s">
        <v>20</v>
      </c>
      <c r="C9" s="14" t="s">
        <v>68</v>
      </c>
      <c r="D9" s="13" t="n">
        <v>4</v>
      </c>
      <c r="E9" s="14" t="s">
        <v>225</v>
      </c>
      <c r="F9" s="15"/>
      <c r="G9" s="15"/>
    </row>
    <row r="10" customFormat="false" ht="23.85" hidden="false" customHeight="false" outlineLevel="0" collapsed="false">
      <c r="A10" s="12" t="s">
        <v>70</v>
      </c>
      <c r="B10" s="13" t="s">
        <v>20</v>
      </c>
      <c r="C10" s="14" t="s">
        <v>71</v>
      </c>
      <c r="D10" s="13" t="n">
        <v>1</v>
      </c>
      <c r="E10" s="14" t="s">
        <v>226</v>
      </c>
      <c r="F10" s="15"/>
      <c r="G10" s="15"/>
    </row>
    <row r="11" customFormat="false" ht="15" hidden="false" customHeight="false" outlineLevel="0" collapsed="false">
      <c r="A11" s="12" t="s">
        <v>70</v>
      </c>
      <c r="B11" s="13" t="s">
        <v>20</v>
      </c>
      <c r="C11" s="14" t="s">
        <v>71</v>
      </c>
      <c r="D11" s="13" t="n">
        <v>2</v>
      </c>
      <c r="E11" s="14" t="s">
        <v>227</v>
      </c>
      <c r="F11" s="15"/>
      <c r="G11" s="15"/>
    </row>
    <row r="12" customFormat="false" ht="15" hidden="false" customHeight="false" outlineLevel="0" collapsed="false">
      <c r="A12" s="12" t="s">
        <v>70</v>
      </c>
      <c r="B12" s="13" t="s">
        <v>20</v>
      </c>
      <c r="C12" s="14" t="s">
        <v>71</v>
      </c>
      <c r="D12" s="13" t="n">
        <v>3</v>
      </c>
      <c r="E12" s="14" t="s">
        <v>228</v>
      </c>
      <c r="F12" s="15"/>
      <c r="G12" s="15"/>
    </row>
    <row r="13" customFormat="false" ht="23.85" hidden="false" customHeight="false" outlineLevel="0" collapsed="false">
      <c r="A13" s="12" t="s">
        <v>70</v>
      </c>
      <c r="B13" s="13" t="s">
        <v>20</v>
      </c>
      <c r="C13" s="14" t="s">
        <v>71</v>
      </c>
      <c r="D13" s="13" t="n">
        <v>4</v>
      </c>
      <c r="E13" s="14" t="s">
        <v>229</v>
      </c>
      <c r="F13" s="15"/>
      <c r="G13" s="15"/>
    </row>
    <row r="14" customFormat="false" ht="23.85" hidden="false" customHeight="false" outlineLevel="0" collapsed="false">
      <c r="A14" s="12" t="s">
        <v>73</v>
      </c>
      <c r="B14" s="13" t="s">
        <v>20</v>
      </c>
      <c r="C14" s="14" t="s">
        <v>74</v>
      </c>
      <c r="D14" s="13" t="n">
        <v>1</v>
      </c>
      <c r="E14" s="14" t="s">
        <v>230</v>
      </c>
      <c r="F14" s="15"/>
      <c r="G14" s="15"/>
    </row>
    <row r="15" customFormat="false" ht="23.85" hidden="false" customHeight="false" outlineLevel="0" collapsed="false">
      <c r="A15" s="12" t="s">
        <v>73</v>
      </c>
      <c r="B15" s="13" t="s">
        <v>20</v>
      </c>
      <c r="C15" s="14" t="s">
        <v>74</v>
      </c>
      <c r="D15" s="13" t="n">
        <v>2</v>
      </c>
      <c r="E15" s="14" t="s">
        <v>231</v>
      </c>
      <c r="F15" s="15"/>
      <c r="G15" s="15"/>
    </row>
    <row r="16" customFormat="false" ht="15" hidden="false" customHeight="false" outlineLevel="0" collapsed="false">
      <c r="A16" s="12" t="s">
        <v>73</v>
      </c>
      <c r="B16" s="13" t="s">
        <v>20</v>
      </c>
      <c r="C16" s="14" t="s">
        <v>74</v>
      </c>
      <c r="D16" s="13" t="n">
        <v>3</v>
      </c>
      <c r="E16" s="14" t="s">
        <v>232</v>
      </c>
      <c r="F16" s="15"/>
      <c r="G16" s="15"/>
    </row>
    <row r="17" customFormat="false" ht="23.85" hidden="false" customHeight="false" outlineLevel="0" collapsed="false">
      <c r="A17" s="12" t="s">
        <v>76</v>
      </c>
      <c r="B17" s="13" t="s">
        <v>20</v>
      </c>
      <c r="C17" s="14" t="s">
        <v>77</v>
      </c>
      <c r="D17" s="13" t="n">
        <v>1</v>
      </c>
      <c r="E17" s="14" t="s">
        <v>233</v>
      </c>
      <c r="F17" s="15"/>
      <c r="G17" s="15"/>
    </row>
    <row r="18" customFormat="false" ht="23.85" hidden="false" customHeight="false" outlineLevel="0" collapsed="false">
      <c r="A18" s="12" t="s">
        <v>76</v>
      </c>
      <c r="B18" s="13" t="s">
        <v>20</v>
      </c>
      <c r="C18" s="14" t="s">
        <v>77</v>
      </c>
      <c r="D18" s="13" t="n">
        <v>2</v>
      </c>
      <c r="E18" s="14" t="s">
        <v>234</v>
      </c>
      <c r="F18" s="15"/>
      <c r="G18" s="15"/>
    </row>
    <row r="19" customFormat="false" ht="15" hidden="false" customHeight="false" outlineLevel="0" collapsed="false">
      <c r="A19" s="12" t="s">
        <v>76</v>
      </c>
      <c r="B19" s="13" t="s">
        <v>20</v>
      </c>
      <c r="C19" s="14" t="s">
        <v>77</v>
      </c>
      <c r="D19" s="13" t="n">
        <v>3</v>
      </c>
      <c r="E19" s="14" t="s">
        <v>235</v>
      </c>
      <c r="F19" s="15"/>
      <c r="G19" s="15"/>
    </row>
    <row r="20" customFormat="false" ht="23.85" hidden="false" customHeight="false" outlineLevel="0" collapsed="false">
      <c r="A20" s="12" t="s">
        <v>76</v>
      </c>
      <c r="B20" s="13" t="s">
        <v>20</v>
      </c>
      <c r="C20" s="14" t="s">
        <v>77</v>
      </c>
      <c r="D20" s="13" t="n">
        <v>4</v>
      </c>
      <c r="E20" s="14" t="s">
        <v>236</v>
      </c>
      <c r="F20" s="15"/>
      <c r="G20" s="15"/>
    </row>
    <row r="21" customFormat="false" ht="23.85" hidden="false" customHeight="false" outlineLevel="0" collapsed="false">
      <c r="A21" s="12" t="s">
        <v>79</v>
      </c>
      <c r="B21" s="13" t="s">
        <v>23</v>
      </c>
      <c r="C21" s="14" t="s">
        <v>80</v>
      </c>
      <c r="D21" s="13" t="n">
        <v>1</v>
      </c>
      <c r="E21" s="14" t="s">
        <v>237</v>
      </c>
      <c r="F21" s="15"/>
      <c r="G21" s="15"/>
    </row>
    <row r="22" customFormat="false" ht="23.85" hidden="false" customHeight="false" outlineLevel="0" collapsed="false">
      <c r="A22" s="12" t="s">
        <v>79</v>
      </c>
      <c r="B22" s="13" t="s">
        <v>23</v>
      </c>
      <c r="C22" s="14" t="s">
        <v>80</v>
      </c>
      <c r="D22" s="13" t="n">
        <v>2</v>
      </c>
      <c r="E22" s="14" t="s">
        <v>238</v>
      </c>
      <c r="F22" s="15"/>
      <c r="G22" s="15"/>
    </row>
    <row r="23" customFormat="false" ht="23.85" hidden="false" customHeight="false" outlineLevel="0" collapsed="false">
      <c r="A23" s="12" t="s">
        <v>79</v>
      </c>
      <c r="B23" s="13" t="s">
        <v>23</v>
      </c>
      <c r="C23" s="14" t="s">
        <v>80</v>
      </c>
      <c r="D23" s="13" t="n">
        <v>3</v>
      </c>
      <c r="E23" s="14" t="s">
        <v>239</v>
      </c>
      <c r="F23" s="15"/>
      <c r="G23" s="15"/>
    </row>
    <row r="24" customFormat="false" ht="15" hidden="false" customHeight="false" outlineLevel="0" collapsed="false">
      <c r="A24" s="12" t="s">
        <v>79</v>
      </c>
      <c r="B24" s="13" t="s">
        <v>23</v>
      </c>
      <c r="C24" s="14" t="s">
        <v>80</v>
      </c>
      <c r="D24" s="13" t="n">
        <v>4</v>
      </c>
      <c r="E24" s="14" t="s">
        <v>240</v>
      </c>
      <c r="F24" s="15"/>
      <c r="G24" s="15"/>
    </row>
    <row r="25" customFormat="false" ht="23.85" hidden="false" customHeight="false" outlineLevel="0" collapsed="false">
      <c r="A25" s="12" t="s">
        <v>82</v>
      </c>
      <c r="B25" s="13" t="s">
        <v>23</v>
      </c>
      <c r="C25" s="14" t="s">
        <v>83</v>
      </c>
      <c r="D25" s="13" t="n">
        <v>1</v>
      </c>
      <c r="E25" s="14" t="s">
        <v>241</v>
      </c>
      <c r="F25" s="15"/>
      <c r="G25" s="15"/>
    </row>
    <row r="26" customFormat="false" ht="35.05" hidden="false" customHeight="false" outlineLevel="0" collapsed="false">
      <c r="A26" s="12" t="s">
        <v>82</v>
      </c>
      <c r="B26" s="13" t="s">
        <v>23</v>
      </c>
      <c r="C26" s="14" t="s">
        <v>83</v>
      </c>
      <c r="D26" s="13" t="n">
        <v>2</v>
      </c>
      <c r="E26" s="14" t="s">
        <v>242</v>
      </c>
      <c r="F26" s="15"/>
      <c r="G26" s="15"/>
    </row>
    <row r="27" customFormat="false" ht="23.85" hidden="false" customHeight="false" outlineLevel="0" collapsed="false">
      <c r="A27" s="12" t="s">
        <v>82</v>
      </c>
      <c r="B27" s="13" t="s">
        <v>23</v>
      </c>
      <c r="C27" s="14" t="s">
        <v>83</v>
      </c>
      <c r="D27" s="13" t="n">
        <v>3</v>
      </c>
      <c r="E27" s="14" t="s">
        <v>243</v>
      </c>
      <c r="F27" s="15"/>
      <c r="G27" s="15"/>
    </row>
    <row r="28" customFormat="false" ht="23.85" hidden="false" customHeight="false" outlineLevel="0" collapsed="false">
      <c r="A28" s="12" t="s">
        <v>82</v>
      </c>
      <c r="B28" s="13" t="s">
        <v>23</v>
      </c>
      <c r="C28" s="14" t="s">
        <v>83</v>
      </c>
      <c r="D28" s="13" t="n">
        <v>4</v>
      </c>
      <c r="E28" s="14" t="s">
        <v>244</v>
      </c>
      <c r="F28" s="15"/>
      <c r="G28" s="15"/>
    </row>
    <row r="29" customFormat="false" ht="23.85" hidden="false" customHeight="false" outlineLevel="0" collapsed="false">
      <c r="A29" s="12" t="s">
        <v>85</v>
      </c>
      <c r="B29" s="13" t="s">
        <v>23</v>
      </c>
      <c r="C29" s="14" t="s">
        <v>86</v>
      </c>
      <c r="D29" s="13" t="n">
        <v>1</v>
      </c>
      <c r="E29" s="14" t="s">
        <v>245</v>
      </c>
      <c r="F29" s="15"/>
      <c r="G29" s="15"/>
    </row>
    <row r="30" customFormat="false" ht="15" hidden="false" customHeight="false" outlineLevel="0" collapsed="false">
      <c r="A30" s="12" t="s">
        <v>85</v>
      </c>
      <c r="B30" s="13" t="s">
        <v>23</v>
      </c>
      <c r="C30" s="14" t="s">
        <v>86</v>
      </c>
      <c r="D30" s="13" t="n">
        <v>2</v>
      </c>
      <c r="E30" s="14" t="s">
        <v>246</v>
      </c>
      <c r="F30" s="15"/>
      <c r="G30" s="15"/>
    </row>
    <row r="31" customFormat="false" ht="15" hidden="false" customHeight="false" outlineLevel="0" collapsed="false">
      <c r="A31" s="12" t="s">
        <v>85</v>
      </c>
      <c r="B31" s="13" t="s">
        <v>23</v>
      </c>
      <c r="C31" s="14" t="s">
        <v>86</v>
      </c>
      <c r="D31" s="13" t="n">
        <v>3</v>
      </c>
      <c r="E31" s="14" t="s">
        <v>247</v>
      </c>
      <c r="F31" s="15"/>
      <c r="G31" s="15"/>
    </row>
    <row r="32" customFormat="false" ht="23.85" hidden="false" customHeight="false" outlineLevel="0" collapsed="false">
      <c r="A32" s="12" t="s">
        <v>85</v>
      </c>
      <c r="B32" s="13" t="s">
        <v>23</v>
      </c>
      <c r="C32" s="14" t="s">
        <v>86</v>
      </c>
      <c r="D32" s="13" t="n">
        <v>4</v>
      </c>
      <c r="E32" s="14" t="s">
        <v>248</v>
      </c>
      <c r="F32" s="15"/>
      <c r="G32" s="15"/>
    </row>
    <row r="33" customFormat="false" ht="23.85" hidden="false" customHeight="false" outlineLevel="0" collapsed="false">
      <c r="A33" s="12" t="s">
        <v>88</v>
      </c>
      <c r="B33" s="13" t="s">
        <v>26</v>
      </c>
      <c r="C33" s="14" t="s">
        <v>89</v>
      </c>
      <c r="D33" s="13" t="n">
        <v>1</v>
      </c>
      <c r="E33" s="14" t="s">
        <v>249</v>
      </c>
      <c r="F33" s="15"/>
      <c r="G33" s="15"/>
    </row>
    <row r="34" customFormat="false" ht="23.85" hidden="false" customHeight="false" outlineLevel="0" collapsed="false">
      <c r="A34" s="12" t="s">
        <v>88</v>
      </c>
      <c r="B34" s="13" t="s">
        <v>26</v>
      </c>
      <c r="C34" s="14" t="s">
        <v>89</v>
      </c>
      <c r="D34" s="13" t="n">
        <v>2</v>
      </c>
      <c r="E34" s="14" t="s">
        <v>250</v>
      </c>
      <c r="F34" s="15"/>
      <c r="G34" s="15"/>
    </row>
    <row r="35" customFormat="false" ht="23.85" hidden="false" customHeight="false" outlineLevel="0" collapsed="false">
      <c r="A35" s="12" t="s">
        <v>88</v>
      </c>
      <c r="B35" s="13" t="s">
        <v>26</v>
      </c>
      <c r="C35" s="14" t="s">
        <v>89</v>
      </c>
      <c r="D35" s="13" t="n">
        <v>3</v>
      </c>
      <c r="E35" s="14" t="s">
        <v>251</v>
      </c>
      <c r="F35" s="15"/>
      <c r="G35" s="15"/>
    </row>
    <row r="36" customFormat="false" ht="23.85" hidden="false" customHeight="false" outlineLevel="0" collapsed="false">
      <c r="A36" s="12" t="s">
        <v>88</v>
      </c>
      <c r="B36" s="13" t="s">
        <v>26</v>
      </c>
      <c r="C36" s="14" t="s">
        <v>89</v>
      </c>
      <c r="D36" s="13" t="n">
        <v>4</v>
      </c>
      <c r="E36" s="14" t="s">
        <v>252</v>
      </c>
      <c r="F36" s="15"/>
      <c r="G36" s="15"/>
    </row>
    <row r="37" customFormat="false" ht="23.85" hidden="false" customHeight="false" outlineLevel="0" collapsed="false">
      <c r="A37" s="12" t="s">
        <v>91</v>
      </c>
      <c r="B37" s="13" t="s">
        <v>26</v>
      </c>
      <c r="C37" s="14" t="s">
        <v>92</v>
      </c>
      <c r="D37" s="13" t="n">
        <v>1</v>
      </c>
      <c r="E37" s="14" t="s">
        <v>253</v>
      </c>
      <c r="F37" s="15"/>
      <c r="G37" s="15"/>
    </row>
    <row r="38" customFormat="false" ht="23.85" hidden="false" customHeight="false" outlineLevel="0" collapsed="false">
      <c r="A38" s="12" t="s">
        <v>91</v>
      </c>
      <c r="B38" s="13" t="s">
        <v>26</v>
      </c>
      <c r="C38" s="14" t="s">
        <v>92</v>
      </c>
      <c r="D38" s="13" t="n">
        <v>2</v>
      </c>
      <c r="E38" s="14" t="s">
        <v>254</v>
      </c>
      <c r="F38" s="15"/>
      <c r="G38" s="15"/>
    </row>
    <row r="39" customFormat="false" ht="23.85" hidden="false" customHeight="false" outlineLevel="0" collapsed="false">
      <c r="A39" s="12" t="s">
        <v>91</v>
      </c>
      <c r="B39" s="13" t="s">
        <v>26</v>
      </c>
      <c r="C39" s="14" t="s">
        <v>92</v>
      </c>
      <c r="D39" s="13" t="n">
        <v>3</v>
      </c>
      <c r="E39" s="14" t="s">
        <v>255</v>
      </c>
      <c r="F39" s="15"/>
      <c r="G39" s="15"/>
    </row>
    <row r="40" customFormat="false" ht="23.85" hidden="false" customHeight="false" outlineLevel="0" collapsed="false">
      <c r="A40" s="12" t="s">
        <v>91</v>
      </c>
      <c r="B40" s="13" t="s">
        <v>26</v>
      </c>
      <c r="C40" s="14" t="s">
        <v>92</v>
      </c>
      <c r="D40" s="13" t="n">
        <v>4</v>
      </c>
      <c r="E40" s="14" t="s">
        <v>256</v>
      </c>
      <c r="F40" s="15"/>
      <c r="G40" s="15"/>
    </row>
    <row r="41" customFormat="false" ht="23.85" hidden="false" customHeight="false" outlineLevel="0" collapsed="false">
      <c r="A41" s="12" t="s">
        <v>94</v>
      </c>
      <c r="B41" s="13" t="s">
        <v>26</v>
      </c>
      <c r="C41" s="14" t="s">
        <v>95</v>
      </c>
      <c r="D41" s="13" t="n">
        <v>1</v>
      </c>
      <c r="E41" s="14" t="s">
        <v>257</v>
      </c>
      <c r="F41" s="15"/>
      <c r="G41" s="15"/>
    </row>
    <row r="42" customFormat="false" ht="23.85" hidden="false" customHeight="false" outlineLevel="0" collapsed="false">
      <c r="A42" s="12" t="s">
        <v>94</v>
      </c>
      <c r="B42" s="13" t="s">
        <v>26</v>
      </c>
      <c r="C42" s="14" t="s">
        <v>95</v>
      </c>
      <c r="D42" s="13" t="n">
        <v>2</v>
      </c>
      <c r="E42" s="14" t="s">
        <v>258</v>
      </c>
      <c r="F42" s="15"/>
      <c r="G42" s="15"/>
    </row>
    <row r="43" customFormat="false" ht="23.85" hidden="false" customHeight="false" outlineLevel="0" collapsed="false">
      <c r="A43" s="12" t="s">
        <v>94</v>
      </c>
      <c r="B43" s="13" t="s">
        <v>26</v>
      </c>
      <c r="C43" s="14" t="s">
        <v>95</v>
      </c>
      <c r="D43" s="13" t="n">
        <v>3</v>
      </c>
      <c r="E43" s="14" t="s">
        <v>259</v>
      </c>
      <c r="F43" s="15"/>
      <c r="G43" s="15"/>
    </row>
    <row r="44" customFormat="false" ht="23.85" hidden="false" customHeight="false" outlineLevel="0" collapsed="false">
      <c r="A44" s="12" t="s">
        <v>94</v>
      </c>
      <c r="B44" s="13" t="s">
        <v>26</v>
      </c>
      <c r="C44" s="14" t="s">
        <v>95</v>
      </c>
      <c r="D44" s="13" t="n">
        <v>4</v>
      </c>
      <c r="E44" s="14" t="s">
        <v>260</v>
      </c>
      <c r="F44" s="15"/>
      <c r="G44" s="15"/>
    </row>
    <row r="45" customFormat="false" ht="23.85" hidden="false" customHeight="false" outlineLevel="0" collapsed="false">
      <c r="A45" s="12" t="s">
        <v>97</v>
      </c>
      <c r="B45" s="13" t="s">
        <v>26</v>
      </c>
      <c r="C45" s="14" t="s">
        <v>98</v>
      </c>
      <c r="D45" s="13" t="n">
        <v>1</v>
      </c>
      <c r="E45" s="14" t="s">
        <v>261</v>
      </c>
      <c r="F45" s="15"/>
      <c r="G45" s="15"/>
    </row>
    <row r="46" customFormat="false" ht="23.85" hidden="false" customHeight="false" outlineLevel="0" collapsed="false">
      <c r="A46" s="12" t="s">
        <v>97</v>
      </c>
      <c r="B46" s="13" t="s">
        <v>26</v>
      </c>
      <c r="C46" s="14" t="s">
        <v>98</v>
      </c>
      <c r="D46" s="13" t="n">
        <v>2</v>
      </c>
      <c r="E46" s="14" t="s">
        <v>262</v>
      </c>
      <c r="F46" s="15"/>
      <c r="G46" s="15"/>
    </row>
    <row r="47" customFormat="false" ht="23.85" hidden="false" customHeight="false" outlineLevel="0" collapsed="false">
      <c r="A47" s="12" t="s">
        <v>97</v>
      </c>
      <c r="B47" s="13" t="s">
        <v>26</v>
      </c>
      <c r="C47" s="14" t="s">
        <v>98</v>
      </c>
      <c r="D47" s="13" t="n">
        <v>3</v>
      </c>
      <c r="E47" s="14" t="s">
        <v>263</v>
      </c>
      <c r="F47" s="15"/>
      <c r="G47" s="15"/>
    </row>
    <row r="48" customFormat="false" ht="23.85" hidden="false" customHeight="false" outlineLevel="0" collapsed="false">
      <c r="A48" s="12" t="s">
        <v>97</v>
      </c>
      <c r="B48" s="13" t="s">
        <v>26</v>
      </c>
      <c r="C48" s="14" t="s">
        <v>98</v>
      </c>
      <c r="D48" s="13" t="n">
        <v>4</v>
      </c>
      <c r="E48" s="14" t="s">
        <v>264</v>
      </c>
      <c r="F48" s="15"/>
      <c r="G48" s="15"/>
    </row>
    <row r="49" customFormat="false" ht="23.85" hidden="false" customHeight="false" outlineLevel="0" collapsed="false">
      <c r="A49" s="12" t="s">
        <v>100</v>
      </c>
      <c r="B49" s="13" t="s">
        <v>26</v>
      </c>
      <c r="C49" s="14" t="s">
        <v>101</v>
      </c>
      <c r="D49" s="13" t="n">
        <v>1</v>
      </c>
      <c r="E49" s="14" t="s">
        <v>265</v>
      </c>
      <c r="F49" s="15"/>
      <c r="G49" s="15"/>
    </row>
    <row r="50" customFormat="false" ht="23.85" hidden="false" customHeight="false" outlineLevel="0" collapsed="false">
      <c r="A50" s="12" t="s">
        <v>100</v>
      </c>
      <c r="B50" s="13" t="s">
        <v>26</v>
      </c>
      <c r="C50" s="14" t="s">
        <v>101</v>
      </c>
      <c r="D50" s="13" t="n">
        <v>2</v>
      </c>
      <c r="E50" s="14" t="s">
        <v>266</v>
      </c>
      <c r="F50" s="15"/>
      <c r="G50" s="15"/>
    </row>
    <row r="51" customFormat="false" ht="23.85" hidden="false" customHeight="false" outlineLevel="0" collapsed="false">
      <c r="A51" s="12" t="s">
        <v>100</v>
      </c>
      <c r="B51" s="13" t="s">
        <v>26</v>
      </c>
      <c r="C51" s="14" t="s">
        <v>101</v>
      </c>
      <c r="D51" s="13" t="n">
        <v>3</v>
      </c>
      <c r="E51" s="14" t="s">
        <v>267</v>
      </c>
      <c r="F51" s="15"/>
      <c r="G51" s="15"/>
    </row>
    <row r="52" customFormat="false" ht="23.85" hidden="false" customHeight="false" outlineLevel="0" collapsed="false">
      <c r="A52" s="12" t="s">
        <v>100</v>
      </c>
      <c r="B52" s="13" t="s">
        <v>26</v>
      </c>
      <c r="C52" s="14" t="s">
        <v>101</v>
      </c>
      <c r="D52" s="13" t="n">
        <v>4</v>
      </c>
      <c r="E52" s="14" t="s">
        <v>268</v>
      </c>
      <c r="F52" s="15"/>
      <c r="G52" s="15"/>
    </row>
    <row r="53" customFormat="false" ht="23.85" hidden="false" customHeight="false" outlineLevel="0" collapsed="false">
      <c r="A53" s="12" t="s">
        <v>100</v>
      </c>
      <c r="B53" s="13" t="s">
        <v>26</v>
      </c>
      <c r="C53" s="14" t="s">
        <v>101</v>
      </c>
      <c r="D53" s="13" t="n">
        <v>5</v>
      </c>
      <c r="E53" s="14" t="s">
        <v>269</v>
      </c>
      <c r="F53" s="15"/>
      <c r="G53" s="15"/>
    </row>
    <row r="54" customFormat="false" ht="23.85" hidden="false" customHeight="false" outlineLevel="0" collapsed="false">
      <c r="A54" s="12" t="s">
        <v>103</v>
      </c>
      <c r="B54" s="13" t="s">
        <v>26</v>
      </c>
      <c r="C54" s="14" t="s">
        <v>104</v>
      </c>
      <c r="D54" s="13" t="n">
        <v>1</v>
      </c>
      <c r="E54" s="14" t="s">
        <v>270</v>
      </c>
      <c r="F54" s="15"/>
      <c r="G54" s="15"/>
    </row>
    <row r="55" customFormat="false" ht="23.85" hidden="false" customHeight="false" outlineLevel="0" collapsed="false">
      <c r="A55" s="12" t="s">
        <v>103</v>
      </c>
      <c r="B55" s="13" t="s">
        <v>26</v>
      </c>
      <c r="C55" s="14" t="s">
        <v>104</v>
      </c>
      <c r="D55" s="13" t="n">
        <v>2</v>
      </c>
      <c r="E55" s="14" t="s">
        <v>271</v>
      </c>
      <c r="F55" s="15"/>
      <c r="G55" s="15"/>
    </row>
    <row r="56" customFormat="false" ht="23.85" hidden="false" customHeight="false" outlineLevel="0" collapsed="false">
      <c r="A56" s="12" t="s">
        <v>103</v>
      </c>
      <c r="B56" s="13" t="s">
        <v>26</v>
      </c>
      <c r="C56" s="14" t="s">
        <v>104</v>
      </c>
      <c r="D56" s="13" t="n">
        <v>3</v>
      </c>
      <c r="E56" s="14" t="s">
        <v>272</v>
      </c>
      <c r="F56" s="15"/>
      <c r="G56" s="15"/>
    </row>
    <row r="57" customFormat="false" ht="23.85" hidden="false" customHeight="false" outlineLevel="0" collapsed="false">
      <c r="A57" s="12" t="s">
        <v>103</v>
      </c>
      <c r="B57" s="13" t="s">
        <v>26</v>
      </c>
      <c r="C57" s="14" t="s">
        <v>104</v>
      </c>
      <c r="D57" s="13" t="n">
        <v>4</v>
      </c>
      <c r="E57" s="14" t="s">
        <v>273</v>
      </c>
      <c r="F57" s="15"/>
      <c r="G57" s="15"/>
    </row>
    <row r="58" customFormat="false" ht="23.85" hidden="false" customHeight="false" outlineLevel="0" collapsed="false">
      <c r="A58" s="12" t="s">
        <v>106</v>
      </c>
      <c r="B58" s="13" t="s">
        <v>26</v>
      </c>
      <c r="C58" s="14" t="s">
        <v>107</v>
      </c>
      <c r="D58" s="13" t="n">
        <v>1</v>
      </c>
      <c r="E58" s="14" t="s">
        <v>274</v>
      </c>
      <c r="F58" s="15"/>
      <c r="G58" s="15"/>
    </row>
    <row r="59" customFormat="false" ht="23.85" hidden="false" customHeight="false" outlineLevel="0" collapsed="false">
      <c r="A59" s="12" t="s">
        <v>106</v>
      </c>
      <c r="B59" s="13" t="s">
        <v>26</v>
      </c>
      <c r="C59" s="14" t="s">
        <v>107</v>
      </c>
      <c r="D59" s="13" t="n">
        <v>2</v>
      </c>
      <c r="E59" s="14" t="s">
        <v>275</v>
      </c>
      <c r="F59" s="15"/>
      <c r="G59" s="15"/>
    </row>
    <row r="60" customFormat="false" ht="23.85" hidden="false" customHeight="false" outlineLevel="0" collapsed="false">
      <c r="A60" s="12" t="s">
        <v>106</v>
      </c>
      <c r="B60" s="13" t="s">
        <v>26</v>
      </c>
      <c r="C60" s="14" t="s">
        <v>107</v>
      </c>
      <c r="D60" s="13" t="n">
        <v>3</v>
      </c>
      <c r="E60" s="14" t="s">
        <v>276</v>
      </c>
      <c r="F60" s="15"/>
      <c r="G60" s="15"/>
    </row>
    <row r="61" customFormat="false" ht="15" hidden="false" customHeight="false" outlineLevel="0" collapsed="false">
      <c r="A61" s="12" t="s">
        <v>106</v>
      </c>
      <c r="B61" s="13" t="s">
        <v>26</v>
      </c>
      <c r="C61" s="14" t="s">
        <v>107</v>
      </c>
      <c r="D61" s="13" t="n">
        <v>4</v>
      </c>
      <c r="E61" s="14" t="s">
        <v>277</v>
      </c>
      <c r="F61" s="15"/>
      <c r="G61" s="15"/>
    </row>
    <row r="62" customFormat="false" ht="23.85" hidden="false" customHeight="false" outlineLevel="0" collapsed="false">
      <c r="A62" s="12" t="s">
        <v>109</v>
      </c>
      <c r="B62" s="13" t="s">
        <v>26</v>
      </c>
      <c r="C62" s="14" t="s">
        <v>110</v>
      </c>
      <c r="D62" s="13" t="n">
        <v>1</v>
      </c>
      <c r="E62" s="14" t="s">
        <v>278</v>
      </c>
      <c r="F62" s="15"/>
      <c r="G62" s="15"/>
    </row>
    <row r="63" customFormat="false" ht="23.85" hidden="false" customHeight="false" outlineLevel="0" collapsed="false">
      <c r="A63" s="12" t="s">
        <v>109</v>
      </c>
      <c r="B63" s="13" t="s">
        <v>26</v>
      </c>
      <c r="C63" s="14" t="s">
        <v>110</v>
      </c>
      <c r="D63" s="13" t="n">
        <v>2</v>
      </c>
      <c r="E63" s="14" t="s">
        <v>279</v>
      </c>
      <c r="F63" s="15"/>
      <c r="G63" s="15"/>
    </row>
    <row r="64" customFormat="false" ht="23.85" hidden="false" customHeight="false" outlineLevel="0" collapsed="false">
      <c r="A64" s="12" t="s">
        <v>109</v>
      </c>
      <c r="B64" s="13" t="s">
        <v>26</v>
      </c>
      <c r="C64" s="14" t="s">
        <v>110</v>
      </c>
      <c r="D64" s="13" t="n">
        <v>3</v>
      </c>
      <c r="E64" s="14" t="s">
        <v>280</v>
      </c>
      <c r="F64" s="15"/>
      <c r="G64" s="15"/>
    </row>
    <row r="65" customFormat="false" ht="23.85" hidden="false" customHeight="false" outlineLevel="0" collapsed="false">
      <c r="A65" s="12" t="s">
        <v>109</v>
      </c>
      <c r="B65" s="13" t="s">
        <v>26</v>
      </c>
      <c r="C65" s="14" t="s">
        <v>110</v>
      </c>
      <c r="D65" s="13" t="n">
        <v>4</v>
      </c>
      <c r="E65" s="14" t="s">
        <v>281</v>
      </c>
      <c r="F65" s="15"/>
      <c r="G65" s="15"/>
    </row>
    <row r="66" customFormat="false" ht="23.85" hidden="false" customHeight="false" outlineLevel="0" collapsed="false">
      <c r="A66" s="12" t="s">
        <v>112</v>
      </c>
      <c r="B66" s="13" t="s">
        <v>26</v>
      </c>
      <c r="C66" s="14" t="s">
        <v>113</v>
      </c>
      <c r="D66" s="13" t="n">
        <v>1</v>
      </c>
      <c r="E66" s="14" t="s">
        <v>282</v>
      </c>
      <c r="F66" s="15"/>
      <c r="G66" s="15"/>
    </row>
    <row r="67" customFormat="false" ht="23.85" hidden="false" customHeight="false" outlineLevel="0" collapsed="false">
      <c r="A67" s="12" t="s">
        <v>112</v>
      </c>
      <c r="B67" s="13" t="s">
        <v>26</v>
      </c>
      <c r="C67" s="14" t="s">
        <v>113</v>
      </c>
      <c r="D67" s="13" t="n">
        <v>2</v>
      </c>
      <c r="E67" s="14" t="s">
        <v>283</v>
      </c>
      <c r="F67" s="15"/>
      <c r="G67" s="15"/>
    </row>
    <row r="68" customFormat="false" ht="23.85" hidden="false" customHeight="false" outlineLevel="0" collapsed="false">
      <c r="A68" s="12" t="s">
        <v>112</v>
      </c>
      <c r="B68" s="13" t="s">
        <v>26</v>
      </c>
      <c r="C68" s="14" t="s">
        <v>113</v>
      </c>
      <c r="D68" s="13" t="n">
        <v>3</v>
      </c>
      <c r="E68" s="14" t="s">
        <v>284</v>
      </c>
      <c r="F68" s="15"/>
      <c r="G68" s="15"/>
    </row>
    <row r="69" customFormat="false" ht="23.85" hidden="false" customHeight="false" outlineLevel="0" collapsed="false">
      <c r="A69" s="12" t="s">
        <v>112</v>
      </c>
      <c r="B69" s="13" t="s">
        <v>26</v>
      </c>
      <c r="C69" s="14" t="s">
        <v>113</v>
      </c>
      <c r="D69" s="13" t="n">
        <v>4</v>
      </c>
      <c r="E69" s="14" t="s">
        <v>285</v>
      </c>
      <c r="F69" s="15"/>
      <c r="G69" s="15"/>
    </row>
    <row r="70" customFormat="false" ht="23.85" hidden="false" customHeight="false" outlineLevel="0" collapsed="false">
      <c r="A70" s="12" t="s">
        <v>115</v>
      </c>
      <c r="B70" s="13" t="s">
        <v>26</v>
      </c>
      <c r="C70" s="14" t="s">
        <v>116</v>
      </c>
      <c r="D70" s="13" t="n">
        <v>1</v>
      </c>
      <c r="E70" s="14" t="s">
        <v>286</v>
      </c>
      <c r="F70" s="15"/>
      <c r="G70" s="15"/>
    </row>
    <row r="71" customFormat="false" ht="15" hidden="false" customHeight="false" outlineLevel="0" collapsed="false">
      <c r="A71" s="12" t="s">
        <v>115</v>
      </c>
      <c r="B71" s="13" t="s">
        <v>26</v>
      </c>
      <c r="C71" s="14" t="s">
        <v>116</v>
      </c>
      <c r="D71" s="13" t="n">
        <v>2</v>
      </c>
      <c r="E71" s="14" t="s">
        <v>287</v>
      </c>
      <c r="F71" s="15"/>
      <c r="G71" s="15"/>
    </row>
    <row r="72" customFormat="false" ht="15" hidden="false" customHeight="false" outlineLevel="0" collapsed="false">
      <c r="A72" s="12" t="s">
        <v>115</v>
      </c>
      <c r="B72" s="13" t="s">
        <v>26</v>
      </c>
      <c r="C72" s="14" t="s">
        <v>116</v>
      </c>
      <c r="D72" s="13" t="n">
        <v>3</v>
      </c>
      <c r="E72" s="14" t="s">
        <v>288</v>
      </c>
      <c r="F72" s="15"/>
      <c r="G72" s="15"/>
    </row>
    <row r="73" customFormat="false" ht="15" hidden="false" customHeight="false" outlineLevel="0" collapsed="false">
      <c r="A73" s="12" t="s">
        <v>115</v>
      </c>
      <c r="B73" s="13" t="s">
        <v>26</v>
      </c>
      <c r="C73" s="14" t="s">
        <v>116</v>
      </c>
      <c r="D73" s="13" t="n">
        <v>4</v>
      </c>
      <c r="E73" s="14" t="s">
        <v>289</v>
      </c>
      <c r="F73" s="15"/>
      <c r="G73" s="15"/>
    </row>
    <row r="74" customFormat="false" ht="23.85" hidden="false" customHeight="false" outlineLevel="0" collapsed="false">
      <c r="A74" s="12" t="s">
        <v>115</v>
      </c>
      <c r="B74" s="13" t="s">
        <v>26</v>
      </c>
      <c r="C74" s="14" t="s">
        <v>116</v>
      </c>
      <c r="D74" s="13" t="n">
        <v>5</v>
      </c>
      <c r="E74" s="14" t="s">
        <v>290</v>
      </c>
      <c r="F74" s="15"/>
      <c r="G74" s="15"/>
    </row>
    <row r="75" customFormat="false" ht="23.85" hidden="false" customHeight="false" outlineLevel="0" collapsed="false">
      <c r="A75" s="12" t="s">
        <v>118</v>
      </c>
      <c r="B75" s="13" t="s">
        <v>28</v>
      </c>
      <c r="C75" s="14" t="s">
        <v>119</v>
      </c>
      <c r="D75" s="13" t="n">
        <v>1</v>
      </c>
      <c r="E75" s="14" t="s">
        <v>291</v>
      </c>
      <c r="F75" s="15"/>
      <c r="G75" s="15"/>
    </row>
    <row r="76" customFormat="false" ht="23.85" hidden="false" customHeight="false" outlineLevel="0" collapsed="false">
      <c r="A76" s="12" t="s">
        <v>118</v>
      </c>
      <c r="B76" s="13" t="s">
        <v>28</v>
      </c>
      <c r="C76" s="14" t="s">
        <v>119</v>
      </c>
      <c r="D76" s="13" t="n">
        <v>2</v>
      </c>
      <c r="E76" s="14" t="s">
        <v>292</v>
      </c>
      <c r="F76" s="15"/>
      <c r="G76" s="15"/>
    </row>
    <row r="77" customFormat="false" ht="23.85" hidden="false" customHeight="false" outlineLevel="0" collapsed="false">
      <c r="A77" s="12" t="s">
        <v>118</v>
      </c>
      <c r="B77" s="13" t="s">
        <v>28</v>
      </c>
      <c r="C77" s="14" t="s">
        <v>119</v>
      </c>
      <c r="D77" s="13" t="n">
        <v>3</v>
      </c>
      <c r="E77" s="14" t="s">
        <v>293</v>
      </c>
      <c r="F77" s="15"/>
      <c r="G77" s="15"/>
    </row>
    <row r="78" customFormat="false" ht="23.85" hidden="false" customHeight="false" outlineLevel="0" collapsed="false">
      <c r="A78" s="12" t="s">
        <v>118</v>
      </c>
      <c r="B78" s="13" t="s">
        <v>28</v>
      </c>
      <c r="C78" s="14" t="s">
        <v>119</v>
      </c>
      <c r="D78" s="13" t="n">
        <v>4</v>
      </c>
      <c r="E78" s="14" t="s">
        <v>294</v>
      </c>
      <c r="F78" s="15"/>
      <c r="G78" s="15"/>
    </row>
    <row r="79" customFormat="false" ht="23.85" hidden="false" customHeight="false" outlineLevel="0" collapsed="false">
      <c r="A79" s="12" t="s">
        <v>121</v>
      </c>
      <c r="B79" s="13" t="s">
        <v>28</v>
      </c>
      <c r="C79" s="14" t="s">
        <v>122</v>
      </c>
      <c r="D79" s="13" t="n">
        <v>1</v>
      </c>
      <c r="E79" s="14" t="s">
        <v>295</v>
      </c>
      <c r="F79" s="15"/>
      <c r="G79" s="15"/>
    </row>
    <row r="80" customFormat="false" ht="23.85" hidden="false" customHeight="false" outlineLevel="0" collapsed="false">
      <c r="A80" s="12" t="s">
        <v>121</v>
      </c>
      <c r="B80" s="13" t="s">
        <v>28</v>
      </c>
      <c r="C80" s="14" t="s">
        <v>122</v>
      </c>
      <c r="D80" s="13" t="n">
        <v>2</v>
      </c>
      <c r="E80" s="14" t="s">
        <v>296</v>
      </c>
      <c r="F80" s="15"/>
      <c r="G80" s="15"/>
    </row>
    <row r="81" customFormat="false" ht="23.85" hidden="false" customHeight="false" outlineLevel="0" collapsed="false">
      <c r="A81" s="12" t="s">
        <v>121</v>
      </c>
      <c r="B81" s="13" t="s">
        <v>28</v>
      </c>
      <c r="C81" s="14" t="s">
        <v>122</v>
      </c>
      <c r="D81" s="13" t="n">
        <v>3</v>
      </c>
      <c r="E81" s="14" t="s">
        <v>297</v>
      </c>
      <c r="F81" s="15"/>
      <c r="G81" s="15"/>
    </row>
    <row r="82" customFormat="false" ht="23.85" hidden="false" customHeight="false" outlineLevel="0" collapsed="false">
      <c r="A82" s="12" t="s">
        <v>121</v>
      </c>
      <c r="B82" s="13" t="s">
        <v>28</v>
      </c>
      <c r="C82" s="14" t="s">
        <v>122</v>
      </c>
      <c r="D82" s="13" t="n">
        <v>4</v>
      </c>
      <c r="E82" s="14" t="s">
        <v>298</v>
      </c>
      <c r="F82" s="15"/>
      <c r="G82" s="15"/>
    </row>
    <row r="83" customFormat="false" ht="23.85" hidden="false" customHeight="false" outlineLevel="0" collapsed="false">
      <c r="A83" s="12" t="s">
        <v>121</v>
      </c>
      <c r="B83" s="13" t="s">
        <v>28</v>
      </c>
      <c r="C83" s="14" t="s">
        <v>122</v>
      </c>
      <c r="D83" s="13" t="n">
        <v>5</v>
      </c>
      <c r="E83" s="14" t="s">
        <v>299</v>
      </c>
      <c r="F83" s="15"/>
      <c r="G83" s="15"/>
    </row>
    <row r="84" customFormat="false" ht="23.85" hidden="false" customHeight="false" outlineLevel="0" collapsed="false">
      <c r="A84" s="12" t="s">
        <v>124</v>
      </c>
      <c r="B84" s="13" t="s">
        <v>28</v>
      </c>
      <c r="C84" s="14" t="s">
        <v>125</v>
      </c>
      <c r="D84" s="13" t="n">
        <v>1</v>
      </c>
      <c r="E84" s="14" t="s">
        <v>300</v>
      </c>
      <c r="F84" s="15"/>
      <c r="G84" s="15"/>
    </row>
    <row r="85" customFormat="false" ht="23.85" hidden="false" customHeight="false" outlineLevel="0" collapsed="false">
      <c r="A85" s="12" t="s">
        <v>124</v>
      </c>
      <c r="B85" s="13" t="s">
        <v>28</v>
      </c>
      <c r="C85" s="14" t="s">
        <v>125</v>
      </c>
      <c r="D85" s="13" t="n">
        <v>2</v>
      </c>
      <c r="E85" s="14" t="s">
        <v>301</v>
      </c>
      <c r="F85" s="15"/>
      <c r="G85" s="15"/>
    </row>
    <row r="86" customFormat="false" ht="23.85" hidden="false" customHeight="false" outlineLevel="0" collapsed="false">
      <c r="A86" s="12" t="s">
        <v>124</v>
      </c>
      <c r="B86" s="13" t="s">
        <v>28</v>
      </c>
      <c r="C86" s="14" t="s">
        <v>125</v>
      </c>
      <c r="D86" s="13" t="n">
        <v>3</v>
      </c>
      <c r="E86" s="14" t="s">
        <v>302</v>
      </c>
      <c r="F86" s="15"/>
      <c r="G86" s="15"/>
    </row>
    <row r="87" customFormat="false" ht="23.85" hidden="false" customHeight="false" outlineLevel="0" collapsed="false">
      <c r="A87" s="12" t="s">
        <v>124</v>
      </c>
      <c r="B87" s="13" t="s">
        <v>28</v>
      </c>
      <c r="C87" s="14" t="s">
        <v>125</v>
      </c>
      <c r="D87" s="13" t="n">
        <v>4</v>
      </c>
      <c r="E87" s="14" t="s">
        <v>303</v>
      </c>
      <c r="F87" s="15"/>
      <c r="G87" s="15"/>
    </row>
    <row r="88" customFormat="false" ht="23.85" hidden="false" customHeight="false" outlineLevel="0" collapsed="false">
      <c r="A88" s="12" t="s">
        <v>127</v>
      </c>
      <c r="B88" s="13" t="s">
        <v>28</v>
      </c>
      <c r="C88" s="14" t="s">
        <v>128</v>
      </c>
      <c r="D88" s="13" t="n">
        <v>1</v>
      </c>
      <c r="E88" s="14" t="s">
        <v>304</v>
      </c>
      <c r="F88" s="15"/>
      <c r="G88" s="15"/>
    </row>
    <row r="89" customFormat="false" ht="23.85" hidden="false" customHeight="false" outlineLevel="0" collapsed="false">
      <c r="A89" s="12" t="s">
        <v>127</v>
      </c>
      <c r="B89" s="13" t="s">
        <v>28</v>
      </c>
      <c r="C89" s="14" t="s">
        <v>128</v>
      </c>
      <c r="D89" s="13" t="n">
        <v>2</v>
      </c>
      <c r="E89" s="14" t="s">
        <v>305</v>
      </c>
      <c r="F89" s="15"/>
      <c r="G89" s="15"/>
    </row>
    <row r="90" customFormat="false" ht="23.85" hidden="false" customHeight="false" outlineLevel="0" collapsed="false">
      <c r="A90" s="12" t="s">
        <v>127</v>
      </c>
      <c r="B90" s="13" t="s">
        <v>28</v>
      </c>
      <c r="C90" s="14" t="s">
        <v>128</v>
      </c>
      <c r="D90" s="13" t="n">
        <v>3</v>
      </c>
      <c r="E90" s="14" t="s">
        <v>306</v>
      </c>
      <c r="F90" s="15"/>
      <c r="G90" s="15"/>
    </row>
    <row r="91" customFormat="false" ht="23.85" hidden="false" customHeight="false" outlineLevel="0" collapsed="false">
      <c r="A91" s="12" t="s">
        <v>127</v>
      </c>
      <c r="B91" s="13" t="s">
        <v>28</v>
      </c>
      <c r="C91" s="14" t="s">
        <v>128</v>
      </c>
      <c r="D91" s="13" t="n">
        <v>4</v>
      </c>
      <c r="E91" s="14" t="s">
        <v>307</v>
      </c>
      <c r="F91" s="15"/>
      <c r="G91" s="15"/>
    </row>
    <row r="92" customFormat="false" ht="23.85" hidden="false" customHeight="false" outlineLevel="0" collapsed="false">
      <c r="A92" s="12" t="s">
        <v>127</v>
      </c>
      <c r="B92" s="13" t="s">
        <v>28</v>
      </c>
      <c r="C92" s="14" t="s">
        <v>128</v>
      </c>
      <c r="D92" s="13" t="n">
        <v>5</v>
      </c>
      <c r="E92" s="14" t="s">
        <v>308</v>
      </c>
      <c r="F92" s="15"/>
      <c r="G92" s="15"/>
    </row>
    <row r="93" customFormat="false" ht="23.85" hidden="false" customHeight="false" outlineLevel="0" collapsed="false">
      <c r="A93" s="12" t="s">
        <v>130</v>
      </c>
      <c r="B93" s="13" t="s">
        <v>28</v>
      </c>
      <c r="C93" s="14" t="s">
        <v>131</v>
      </c>
      <c r="D93" s="13" t="n">
        <v>1</v>
      </c>
      <c r="E93" s="14" t="s">
        <v>309</v>
      </c>
      <c r="F93" s="15"/>
      <c r="G93" s="15"/>
    </row>
    <row r="94" customFormat="false" ht="23.85" hidden="false" customHeight="false" outlineLevel="0" collapsed="false">
      <c r="A94" s="12" t="s">
        <v>130</v>
      </c>
      <c r="B94" s="13" t="s">
        <v>28</v>
      </c>
      <c r="C94" s="14" t="s">
        <v>131</v>
      </c>
      <c r="D94" s="13" t="n">
        <v>2</v>
      </c>
      <c r="E94" s="14" t="s">
        <v>310</v>
      </c>
      <c r="F94" s="15"/>
      <c r="G94" s="15"/>
    </row>
    <row r="95" customFormat="false" ht="23.85" hidden="false" customHeight="false" outlineLevel="0" collapsed="false">
      <c r="A95" s="12" t="s">
        <v>130</v>
      </c>
      <c r="B95" s="13" t="s">
        <v>28</v>
      </c>
      <c r="C95" s="14" t="s">
        <v>131</v>
      </c>
      <c r="D95" s="13" t="n">
        <v>3</v>
      </c>
      <c r="E95" s="14" t="s">
        <v>311</v>
      </c>
      <c r="F95" s="15"/>
      <c r="G95" s="15"/>
    </row>
    <row r="96" customFormat="false" ht="23.85" hidden="false" customHeight="false" outlineLevel="0" collapsed="false">
      <c r="A96" s="12" t="s">
        <v>130</v>
      </c>
      <c r="B96" s="13" t="s">
        <v>28</v>
      </c>
      <c r="C96" s="14" t="s">
        <v>131</v>
      </c>
      <c r="D96" s="13" t="n">
        <v>4</v>
      </c>
      <c r="E96" s="14" t="s">
        <v>312</v>
      </c>
      <c r="F96" s="15"/>
      <c r="G96" s="15"/>
    </row>
    <row r="97" customFormat="false" ht="23.85" hidden="false" customHeight="false" outlineLevel="0" collapsed="false">
      <c r="A97" s="12" t="s">
        <v>133</v>
      </c>
      <c r="B97" s="13" t="s">
        <v>28</v>
      </c>
      <c r="C97" s="14" t="s">
        <v>134</v>
      </c>
      <c r="D97" s="13" t="n">
        <v>1</v>
      </c>
      <c r="E97" s="14" t="s">
        <v>313</v>
      </c>
      <c r="F97" s="15"/>
      <c r="G97" s="15"/>
    </row>
    <row r="98" customFormat="false" ht="23.85" hidden="false" customHeight="false" outlineLevel="0" collapsed="false">
      <c r="A98" s="12" t="s">
        <v>133</v>
      </c>
      <c r="B98" s="13" t="s">
        <v>28</v>
      </c>
      <c r="C98" s="14" t="s">
        <v>134</v>
      </c>
      <c r="D98" s="13" t="n">
        <v>2</v>
      </c>
      <c r="E98" s="14" t="s">
        <v>314</v>
      </c>
      <c r="F98" s="15"/>
      <c r="G98" s="15"/>
    </row>
    <row r="99" customFormat="false" ht="23.85" hidden="false" customHeight="false" outlineLevel="0" collapsed="false">
      <c r="A99" s="12" t="s">
        <v>133</v>
      </c>
      <c r="B99" s="13" t="s">
        <v>28</v>
      </c>
      <c r="C99" s="14" t="s">
        <v>134</v>
      </c>
      <c r="D99" s="13" t="n">
        <v>3</v>
      </c>
      <c r="E99" s="14" t="s">
        <v>315</v>
      </c>
      <c r="F99" s="15"/>
      <c r="G99" s="15"/>
    </row>
    <row r="100" customFormat="false" ht="23.85" hidden="false" customHeight="false" outlineLevel="0" collapsed="false">
      <c r="A100" s="12" t="s">
        <v>133</v>
      </c>
      <c r="B100" s="13" t="s">
        <v>28</v>
      </c>
      <c r="C100" s="14" t="s">
        <v>134</v>
      </c>
      <c r="D100" s="13" t="n">
        <v>4</v>
      </c>
      <c r="E100" s="14" t="s">
        <v>316</v>
      </c>
      <c r="F100" s="15"/>
      <c r="G100" s="15"/>
    </row>
    <row r="101" customFormat="false" ht="23.85" hidden="false" customHeight="false" outlineLevel="0" collapsed="false">
      <c r="A101" s="12" t="s">
        <v>136</v>
      </c>
      <c r="B101" s="13" t="s">
        <v>28</v>
      </c>
      <c r="C101" s="14" t="s">
        <v>137</v>
      </c>
      <c r="D101" s="13" t="n">
        <v>1</v>
      </c>
      <c r="E101" s="14" t="s">
        <v>317</v>
      </c>
      <c r="F101" s="15"/>
      <c r="G101" s="15"/>
    </row>
    <row r="102" customFormat="false" ht="23.85" hidden="false" customHeight="false" outlineLevel="0" collapsed="false">
      <c r="A102" s="12" t="s">
        <v>136</v>
      </c>
      <c r="B102" s="13" t="s">
        <v>28</v>
      </c>
      <c r="C102" s="14" t="s">
        <v>137</v>
      </c>
      <c r="D102" s="13" t="n">
        <v>2</v>
      </c>
      <c r="E102" s="14" t="s">
        <v>318</v>
      </c>
      <c r="F102" s="15"/>
      <c r="G102" s="15"/>
    </row>
    <row r="103" customFormat="false" ht="23.85" hidden="false" customHeight="false" outlineLevel="0" collapsed="false">
      <c r="A103" s="12" t="s">
        <v>136</v>
      </c>
      <c r="B103" s="13" t="s">
        <v>28</v>
      </c>
      <c r="C103" s="14" t="s">
        <v>137</v>
      </c>
      <c r="D103" s="13" t="n">
        <v>3</v>
      </c>
      <c r="E103" s="14" t="s">
        <v>319</v>
      </c>
      <c r="F103" s="15"/>
      <c r="G103" s="15"/>
    </row>
    <row r="104" customFormat="false" ht="23.85" hidden="false" customHeight="false" outlineLevel="0" collapsed="false">
      <c r="A104" s="12" t="s">
        <v>136</v>
      </c>
      <c r="B104" s="13" t="s">
        <v>28</v>
      </c>
      <c r="C104" s="14" t="s">
        <v>137</v>
      </c>
      <c r="D104" s="13" t="n">
        <v>4</v>
      </c>
      <c r="E104" s="14" t="s">
        <v>320</v>
      </c>
      <c r="F104" s="15"/>
      <c r="G104" s="15"/>
    </row>
    <row r="105" customFormat="false" ht="23.85" hidden="false" customHeight="false" outlineLevel="0" collapsed="false">
      <c r="A105" s="12" t="s">
        <v>139</v>
      </c>
      <c r="B105" s="13" t="s">
        <v>30</v>
      </c>
      <c r="C105" s="14" t="s">
        <v>140</v>
      </c>
      <c r="D105" s="13" t="n">
        <v>1</v>
      </c>
      <c r="E105" s="14" t="s">
        <v>321</v>
      </c>
      <c r="F105" s="15"/>
      <c r="G105" s="15"/>
    </row>
    <row r="106" customFormat="false" ht="15" hidden="false" customHeight="false" outlineLevel="0" collapsed="false">
      <c r="A106" s="12" t="s">
        <v>139</v>
      </c>
      <c r="B106" s="13" t="s">
        <v>30</v>
      </c>
      <c r="C106" s="14" t="s">
        <v>140</v>
      </c>
      <c r="D106" s="13" t="n">
        <v>2</v>
      </c>
      <c r="E106" s="14" t="s">
        <v>322</v>
      </c>
      <c r="F106" s="15"/>
      <c r="G106" s="15"/>
    </row>
    <row r="107" customFormat="false" ht="15" hidden="false" customHeight="false" outlineLevel="0" collapsed="false">
      <c r="A107" s="12" t="s">
        <v>139</v>
      </c>
      <c r="B107" s="13" t="s">
        <v>30</v>
      </c>
      <c r="C107" s="14" t="s">
        <v>140</v>
      </c>
      <c r="D107" s="13" t="n">
        <v>3</v>
      </c>
      <c r="E107" s="14" t="s">
        <v>323</v>
      </c>
      <c r="F107" s="15"/>
      <c r="G107" s="15"/>
    </row>
    <row r="108" customFormat="false" ht="23.85" hidden="false" customHeight="false" outlineLevel="0" collapsed="false">
      <c r="A108" s="12" t="s">
        <v>139</v>
      </c>
      <c r="B108" s="13" t="s">
        <v>30</v>
      </c>
      <c r="C108" s="14" t="s">
        <v>140</v>
      </c>
      <c r="D108" s="13" t="n">
        <v>4</v>
      </c>
      <c r="E108" s="14" t="s">
        <v>324</v>
      </c>
      <c r="F108" s="15"/>
      <c r="G108" s="15"/>
    </row>
    <row r="109" customFormat="false" ht="23.85" hidden="false" customHeight="false" outlineLevel="0" collapsed="false">
      <c r="A109" s="12" t="s">
        <v>142</v>
      </c>
      <c r="B109" s="13" t="s">
        <v>30</v>
      </c>
      <c r="C109" s="14" t="s">
        <v>143</v>
      </c>
      <c r="D109" s="13" t="n">
        <v>1</v>
      </c>
      <c r="E109" s="14" t="s">
        <v>325</v>
      </c>
      <c r="F109" s="15"/>
      <c r="G109" s="15"/>
    </row>
    <row r="110" customFormat="false" ht="15" hidden="false" customHeight="false" outlineLevel="0" collapsed="false">
      <c r="A110" s="12" t="s">
        <v>142</v>
      </c>
      <c r="B110" s="13" t="s">
        <v>30</v>
      </c>
      <c r="C110" s="14" t="s">
        <v>143</v>
      </c>
      <c r="D110" s="13" t="n">
        <v>2</v>
      </c>
      <c r="E110" s="14" t="s">
        <v>326</v>
      </c>
      <c r="F110" s="15"/>
      <c r="G110" s="15"/>
    </row>
    <row r="111" customFormat="false" ht="15" hidden="false" customHeight="false" outlineLevel="0" collapsed="false">
      <c r="A111" s="12" t="s">
        <v>142</v>
      </c>
      <c r="B111" s="13" t="s">
        <v>30</v>
      </c>
      <c r="C111" s="14" t="s">
        <v>143</v>
      </c>
      <c r="D111" s="13" t="n">
        <v>3</v>
      </c>
      <c r="E111" s="14" t="s">
        <v>327</v>
      </c>
      <c r="F111" s="15"/>
      <c r="G111" s="15"/>
    </row>
    <row r="112" customFormat="false" ht="15" hidden="false" customHeight="false" outlineLevel="0" collapsed="false">
      <c r="A112" s="12" t="s">
        <v>142</v>
      </c>
      <c r="B112" s="13" t="s">
        <v>30</v>
      </c>
      <c r="C112" s="14" t="s">
        <v>143</v>
      </c>
      <c r="D112" s="13" t="n">
        <v>4</v>
      </c>
      <c r="E112" s="14" t="s">
        <v>328</v>
      </c>
      <c r="F112" s="15"/>
      <c r="G112" s="15"/>
    </row>
    <row r="113" customFormat="false" ht="23.85" hidden="false" customHeight="false" outlineLevel="0" collapsed="false">
      <c r="A113" s="12" t="s">
        <v>145</v>
      </c>
      <c r="B113" s="13" t="s">
        <v>30</v>
      </c>
      <c r="C113" s="14" t="s">
        <v>146</v>
      </c>
      <c r="D113" s="13" t="n">
        <v>1</v>
      </c>
      <c r="E113" s="14" t="s">
        <v>329</v>
      </c>
      <c r="F113" s="15"/>
      <c r="G113" s="15"/>
    </row>
    <row r="114" customFormat="false" ht="23.85" hidden="false" customHeight="false" outlineLevel="0" collapsed="false">
      <c r="A114" s="12" t="s">
        <v>145</v>
      </c>
      <c r="B114" s="13" t="s">
        <v>30</v>
      </c>
      <c r="C114" s="14" t="s">
        <v>146</v>
      </c>
      <c r="D114" s="13" t="n">
        <v>2</v>
      </c>
      <c r="E114" s="14" t="s">
        <v>330</v>
      </c>
      <c r="F114" s="15"/>
      <c r="G114" s="15"/>
    </row>
    <row r="115" customFormat="false" ht="23.85" hidden="false" customHeight="false" outlineLevel="0" collapsed="false">
      <c r="A115" s="12" t="s">
        <v>145</v>
      </c>
      <c r="B115" s="13" t="s">
        <v>30</v>
      </c>
      <c r="C115" s="14" t="s">
        <v>146</v>
      </c>
      <c r="D115" s="13" t="n">
        <v>3</v>
      </c>
      <c r="E115" s="14" t="s">
        <v>331</v>
      </c>
      <c r="F115" s="15"/>
      <c r="G115" s="15"/>
    </row>
    <row r="116" customFormat="false" ht="23.85" hidden="false" customHeight="false" outlineLevel="0" collapsed="false">
      <c r="A116" s="12" t="s">
        <v>145</v>
      </c>
      <c r="B116" s="13" t="s">
        <v>30</v>
      </c>
      <c r="C116" s="14" t="s">
        <v>146</v>
      </c>
      <c r="D116" s="13" t="n">
        <v>4</v>
      </c>
      <c r="E116" s="14" t="s">
        <v>332</v>
      </c>
      <c r="F116" s="15"/>
      <c r="G116" s="15"/>
    </row>
    <row r="117" customFormat="false" ht="23.85" hidden="false" customHeight="false" outlineLevel="0" collapsed="false">
      <c r="A117" s="12" t="s">
        <v>148</v>
      </c>
      <c r="B117" s="13" t="s">
        <v>30</v>
      </c>
      <c r="C117" s="14" t="s">
        <v>149</v>
      </c>
      <c r="D117" s="13" t="n">
        <v>1</v>
      </c>
      <c r="E117" s="14" t="s">
        <v>333</v>
      </c>
      <c r="F117" s="15"/>
      <c r="G117" s="15"/>
    </row>
    <row r="118" customFormat="false" ht="15" hidden="false" customHeight="false" outlineLevel="0" collapsed="false">
      <c r="A118" s="12" t="s">
        <v>148</v>
      </c>
      <c r="B118" s="13" t="s">
        <v>30</v>
      </c>
      <c r="C118" s="14" t="s">
        <v>149</v>
      </c>
      <c r="D118" s="13" t="n">
        <v>2</v>
      </c>
      <c r="E118" s="14" t="s">
        <v>334</v>
      </c>
      <c r="F118" s="15"/>
      <c r="G118" s="15"/>
    </row>
    <row r="119" customFormat="false" ht="23.85" hidden="false" customHeight="false" outlineLevel="0" collapsed="false">
      <c r="A119" s="12" t="s">
        <v>148</v>
      </c>
      <c r="B119" s="13" t="s">
        <v>30</v>
      </c>
      <c r="C119" s="14" t="s">
        <v>149</v>
      </c>
      <c r="D119" s="13" t="n">
        <v>3</v>
      </c>
      <c r="E119" s="14" t="s">
        <v>335</v>
      </c>
      <c r="F119" s="15"/>
      <c r="G119" s="15"/>
    </row>
    <row r="120" customFormat="false" ht="23.85" hidden="false" customHeight="false" outlineLevel="0" collapsed="false">
      <c r="A120" s="12" t="s">
        <v>151</v>
      </c>
      <c r="B120" s="13" t="s">
        <v>30</v>
      </c>
      <c r="C120" s="14" t="s">
        <v>152</v>
      </c>
      <c r="D120" s="13" t="n">
        <v>1</v>
      </c>
      <c r="E120" s="14" t="s">
        <v>336</v>
      </c>
      <c r="F120" s="15"/>
      <c r="G120" s="15"/>
    </row>
    <row r="121" customFormat="false" ht="23.85" hidden="false" customHeight="false" outlineLevel="0" collapsed="false">
      <c r="A121" s="12" t="s">
        <v>151</v>
      </c>
      <c r="B121" s="13" t="s">
        <v>30</v>
      </c>
      <c r="C121" s="14" t="s">
        <v>152</v>
      </c>
      <c r="D121" s="13" t="n">
        <v>2</v>
      </c>
      <c r="E121" s="14" t="s">
        <v>337</v>
      </c>
      <c r="F121" s="15"/>
      <c r="G121" s="15"/>
    </row>
    <row r="122" customFormat="false" ht="15" hidden="false" customHeight="false" outlineLevel="0" collapsed="false">
      <c r="A122" s="12" t="s">
        <v>151</v>
      </c>
      <c r="B122" s="13" t="s">
        <v>30</v>
      </c>
      <c r="C122" s="14" t="s">
        <v>152</v>
      </c>
      <c r="D122" s="13" t="n">
        <v>3</v>
      </c>
      <c r="E122" s="14" t="s">
        <v>338</v>
      </c>
      <c r="F122" s="15"/>
      <c r="G122" s="15"/>
    </row>
    <row r="123" customFormat="false" ht="23.85" hidden="false" customHeight="false" outlineLevel="0" collapsed="false">
      <c r="A123" s="12" t="s">
        <v>154</v>
      </c>
      <c r="B123" s="13" t="s">
        <v>30</v>
      </c>
      <c r="C123" s="14" t="s">
        <v>155</v>
      </c>
      <c r="D123" s="13" t="n">
        <v>1</v>
      </c>
      <c r="E123" s="14" t="s">
        <v>339</v>
      </c>
      <c r="F123" s="15"/>
      <c r="G123" s="15"/>
    </row>
    <row r="124" customFormat="false" ht="23.85" hidden="false" customHeight="false" outlineLevel="0" collapsed="false">
      <c r="A124" s="12" t="s">
        <v>154</v>
      </c>
      <c r="B124" s="13" t="s">
        <v>30</v>
      </c>
      <c r="C124" s="14" t="s">
        <v>155</v>
      </c>
      <c r="D124" s="13" t="n">
        <v>2</v>
      </c>
      <c r="E124" s="14" t="s">
        <v>340</v>
      </c>
      <c r="F124" s="15"/>
      <c r="G124" s="15"/>
    </row>
    <row r="125" customFormat="false" ht="23.85" hidden="false" customHeight="false" outlineLevel="0" collapsed="false">
      <c r="A125" s="12" t="s">
        <v>154</v>
      </c>
      <c r="B125" s="13" t="s">
        <v>30</v>
      </c>
      <c r="C125" s="14" t="s">
        <v>155</v>
      </c>
      <c r="D125" s="13" t="n">
        <v>3</v>
      </c>
      <c r="E125" s="14" t="s">
        <v>341</v>
      </c>
      <c r="F125" s="15"/>
      <c r="G125" s="15"/>
    </row>
    <row r="126" customFormat="false" ht="23.85" hidden="false" customHeight="false" outlineLevel="0" collapsed="false">
      <c r="A126" s="12" t="s">
        <v>154</v>
      </c>
      <c r="B126" s="13" t="s">
        <v>30</v>
      </c>
      <c r="C126" s="14" t="s">
        <v>155</v>
      </c>
      <c r="D126" s="13" t="n">
        <v>4</v>
      </c>
      <c r="E126" s="14" t="s">
        <v>342</v>
      </c>
      <c r="F126" s="15"/>
      <c r="G126" s="15"/>
    </row>
    <row r="127" customFormat="false" ht="23.85" hidden="false" customHeight="false" outlineLevel="0" collapsed="false">
      <c r="A127" s="12" t="s">
        <v>157</v>
      </c>
      <c r="B127" s="13" t="s">
        <v>32</v>
      </c>
      <c r="C127" s="14" t="s">
        <v>159</v>
      </c>
      <c r="D127" s="13" t="n">
        <v>1</v>
      </c>
      <c r="E127" s="14" t="s">
        <v>343</v>
      </c>
      <c r="F127" s="15"/>
      <c r="G127" s="15"/>
    </row>
    <row r="128" customFormat="false" ht="23.85" hidden="false" customHeight="false" outlineLevel="0" collapsed="false">
      <c r="A128" s="12" t="s">
        <v>157</v>
      </c>
      <c r="B128" s="13" t="s">
        <v>32</v>
      </c>
      <c r="C128" s="14" t="s">
        <v>159</v>
      </c>
      <c r="D128" s="13" t="n">
        <v>2</v>
      </c>
      <c r="E128" s="14" t="s">
        <v>344</v>
      </c>
      <c r="F128" s="15"/>
      <c r="G128" s="15"/>
    </row>
    <row r="129" customFormat="false" ht="23.85" hidden="false" customHeight="false" outlineLevel="0" collapsed="false">
      <c r="A129" s="12" t="s">
        <v>157</v>
      </c>
      <c r="B129" s="13" t="s">
        <v>32</v>
      </c>
      <c r="C129" s="14" t="s">
        <v>159</v>
      </c>
      <c r="D129" s="13" t="n">
        <v>3</v>
      </c>
      <c r="E129" s="14" t="s">
        <v>345</v>
      </c>
      <c r="F129" s="15"/>
      <c r="G129" s="15"/>
    </row>
    <row r="130" customFormat="false" ht="23.85" hidden="false" customHeight="false" outlineLevel="0" collapsed="false">
      <c r="A130" s="12" t="s">
        <v>157</v>
      </c>
      <c r="B130" s="13" t="s">
        <v>32</v>
      </c>
      <c r="C130" s="14" t="s">
        <v>159</v>
      </c>
      <c r="D130" s="13" t="n">
        <v>4</v>
      </c>
      <c r="E130" s="14" t="s">
        <v>346</v>
      </c>
      <c r="F130" s="15"/>
      <c r="G130" s="15"/>
    </row>
    <row r="131" customFormat="false" ht="23.85" hidden="false" customHeight="false" outlineLevel="0" collapsed="false">
      <c r="A131" s="12" t="s">
        <v>157</v>
      </c>
      <c r="B131" s="13" t="s">
        <v>32</v>
      </c>
      <c r="C131" s="14" t="s">
        <v>159</v>
      </c>
      <c r="D131" s="13" t="n">
        <v>5</v>
      </c>
      <c r="E131" s="14" t="s">
        <v>347</v>
      </c>
      <c r="F131" s="15"/>
      <c r="G131" s="15"/>
    </row>
    <row r="132" customFormat="false" ht="23.85" hidden="false" customHeight="false" outlineLevel="0" collapsed="false">
      <c r="A132" s="12" t="s">
        <v>161</v>
      </c>
      <c r="B132" s="13" t="s">
        <v>32</v>
      </c>
      <c r="C132" s="14" t="s">
        <v>162</v>
      </c>
      <c r="D132" s="13" t="n">
        <v>1</v>
      </c>
      <c r="E132" s="14" t="s">
        <v>348</v>
      </c>
      <c r="F132" s="15"/>
      <c r="G132" s="15"/>
    </row>
    <row r="133" customFormat="false" ht="23.85" hidden="false" customHeight="false" outlineLevel="0" collapsed="false">
      <c r="A133" s="12" t="s">
        <v>161</v>
      </c>
      <c r="B133" s="13" t="s">
        <v>32</v>
      </c>
      <c r="C133" s="14" t="s">
        <v>162</v>
      </c>
      <c r="D133" s="13" t="n">
        <v>2</v>
      </c>
      <c r="E133" s="14" t="s">
        <v>349</v>
      </c>
      <c r="F133" s="15"/>
      <c r="G133" s="15"/>
    </row>
    <row r="134" customFormat="false" ht="23.85" hidden="false" customHeight="false" outlineLevel="0" collapsed="false">
      <c r="A134" s="12" t="s">
        <v>161</v>
      </c>
      <c r="B134" s="13" t="s">
        <v>32</v>
      </c>
      <c r="C134" s="14" t="s">
        <v>162</v>
      </c>
      <c r="D134" s="13" t="n">
        <v>3</v>
      </c>
      <c r="E134" s="14" t="s">
        <v>350</v>
      </c>
      <c r="F134" s="15"/>
      <c r="G134" s="15"/>
    </row>
    <row r="135" customFormat="false" ht="23.85" hidden="false" customHeight="false" outlineLevel="0" collapsed="false">
      <c r="A135" s="12" t="s">
        <v>161</v>
      </c>
      <c r="B135" s="13" t="s">
        <v>32</v>
      </c>
      <c r="C135" s="14" t="s">
        <v>162</v>
      </c>
      <c r="D135" s="13" t="n">
        <v>4</v>
      </c>
      <c r="E135" s="14" t="s">
        <v>351</v>
      </c>
      <c r="F135" s="15"/>
      <c r="G135" s="15"/>
    </row>
    <row r="136" customFormat="false" ht="23.85" hidden="false" customHeight="false" outlineLevel="0" collapsed="false">
      <c r="A136" s="12" t="s">
        <v>161</v>
      </c>
      <c r="B136" s="13" t="s">
        <v>32</v>
      </c>
      <c r="C136" s="14" t="s">
        <v>162</v>
      </c>
      <c r="D136" s="13" t="n">
        <v>5</v>
      </c>
      <c r="E136" s="14" t="s">
        <v>352</v>
      </c>
      <c r="F136" s="15"/>
      <c r="G136" s="15"/>
    </row>
    <row r="137" customFormat="false" ht="23.85" hidden="false" customHeight="false" outlineLevel="0" collapsed="false">
      <c r="A137" s="12" t="s">
        <v>164</v>
      </c>
      <c r="B137" s="13" t="s">
        <v>32</v>
      </c>
      <c r="C137" s="14" t="s">
        <v>165</v>
      </c>
      <c r="D137" s="13" t="n">
        <v>1</v>
      </c>
      <c r="E137" s="14" t="s">
        <v>353</v>
      </c>
      <c r="F137" s="15"/>
      <c r="G137" s="15"/>
    </row>
    <row r="138" customFormat="false" ht="23.85" hidden="false" customHeight="false" outlineLevel="0" collapsed="false">
      <c r="A138" s="12" t="s">
        <v>164</v>
      </c>
      <c r="B138" s="13" t="s">
        <v>32</v>
      </c>
      <c r="C138" s="14" t="s">
        <v>165</v>
      </c>
      <c r="D138" s="13" t="n">
        <v>2</v>
      </c>
      <c r="E138" s="14" t="s">
        <v>354</v>
      </c>
      <c r="F138" s="15"/>
      <c r="G138" s="15"/>
    </row>
    <row r="139" customFormat="false" ht="23.85" hidden="false" customHeight="false" outlineLevel="0" collapsed="false">
      <c r="A139" s="12" t="s">
        <v>164</v>
      </c>
      <c r="B139" s="13" t="s">
        <v>32</v>
      </c>
      <c r="C139" s="14" t="s">
        <v>165</v>
      </c>
      <c r="D139" s="13" t="n">
        <v>3</v>
      </c>
      <c r="E139" s="14" t="s">
        <v>355</v>
      </c>
      <c r="F139" s="15"/>
      <c r="G139" s="15"/>
    </row>
    <row r="140" customFormat="false" ht="23.85" hidden="false" customHeight="false" outlineLevel="0" collapsed="false">
      <c r="A140" s="12" t="s">
        <v>164</v>
      </c>
      <c r="B140" s="13" t="s">
        <v>32</v>
      </c>
      <c r="C140" s="14" t="s">
        <v>165</v>
      </c>
      <c r="D140" s="13" t="n">
        <v>4</v>
      </c>
      <c r="E140" s="14" t="s">
        <v>356</v>
      </c>
      <c r="F140" s="15"/>
      <c r="G140" s="15"/>
    </row>
    <row r="141" customFormat="false" ht="23.85" hidden="false" customHeight="false" outlineLevel="0" collapsed="false">
      <c r="A141" s="12" t="s">
        <v>164</v>
      </c>
      <c r="B141" s="13" t="s">
        <v>32</v>
      </c>
      <c r="C141" s="14" t="s">
        <v>165</v>
      </c>
      <c r="D141" s="13" t="n">
        <v>5</v>
      </c>
      <c r="E141" s="14" t="s">
        <v>357</v>
      </c>
      <c r="F141" s="15"/>
      <c r="G141" s="15"/>
    </row>
    <row r="142" customFormat="false" ht="23.85" hidden="false" customHeight="false" outlineLevel="0" collapsed="false">
      <c r="A142" s="12" t="s">
        <v>167</v>
      </c>
      <c r="B142" s="13" t="s">
        <v>32</v>
      </c>
      <c r="C142" s="14" t="s">
        <v>168</v>
      </c>
      <c r="D142" s="13" t="n">
        <v>1</v>
      </c>
      <c r="E142" s="14" t="s">
        <v>358</v>
      </c>
      <c r="F142" s="15"/>
      <c r="G142" s="15"/>
    </row>
    <row r="143" customFormat="false" ht="35.05" hidden="false" customHeight="false" outlineLevel="0" collapsed="false">
      <c r="A143" s="12" t="s">
        <v>167</v>
      </c>
      <c r="B143" s="13" t="s">
        <v>32</v>
      </c>
      <c r="C143" s="14" t="s">
        <v>168</v>
      </c>
      <c r="D143" s="13" t="n">
        <v>2</v>
      </c>
      <c r="E143" s="14" t="s">
        <v>359</v>
      </c>
      <c r="F143" s="15"/>
      <c r="G143" s="15"/>
    </row>
    <row r="144" customFormat="false" ht="23.85" hidden="false" customHeight="false" outlineLevel="0" collapsed="false">
      <c r="A144" s="12" t="s">
        <v>167</v>
      </c>
      <c r="B144" s="13" t="s">
        <v>32</v>
      </c>
      <c r="C144" s="14" t="s">
        <v>168</v>
      </c>
      <c r="D144" s="13" t="n">
        <v>3</v>
      </c>
      <c r="E144" s="14" t="s">
        <v>360</v>
      </c>
      <c r="F144" s="15"/>
      <c r="G144" s="15"/>
    </row>
    <row r="145" customFormat="false" ht="23.85" hidden="false" customHeight="false" outlineLevel="0" collapsed="false">
      <c r="A145" s="12" t="s">
        <v>167</v>
      </c>
      <c r="B145" s="13" t="s">
        <v>32</v>
      </c>
      <c r="C145" s="14" t="s">
        <v>168</v>
      </c>
      <c r="D145" s="13" t="n">
        <v>4</v>
      </c>
      <c r="E145" s="14" t="s">
        <v>361</v>
      </c>
      <c r="F145" s="15"/>
      <c r="G145" s="15"/>
    </row>
    <row r="146" customFormat="false" ht="23.85" hidden="false" customHeight="false" outlineLevel="0" collapsed="false">
      <c r="A146" s="12" t="s">
        <v>167</v>
      </c>
      <c r="B146" s="13" t="s">
        <v>32</v>
      </c>
      <c r="C146" s="14" t="s">
        <v>168</v>
      </c>
      <c r="D146" s="13" t="n">
        <v>5</v>
      </c>
      <c r="E146" s="14" t="s">
        <v>362</v>
      </c>
      <c r="F146" s="15"/>
      <c r="G146" s="15"/>
    </row>
    <row r="147" customFormat="false" ht="15" hidden="false" customHeight="false" outlineLevel="0" collapsed="false">
      <c r="A147" s="12" t="s">
        <v>170</v>
      </c>
      <c r="B147" s="13" t="s">
        <v>35</v>
      </c>
      <c r="C147" s="14" t="s">
        <v>171</v>
      </c>
      <c r="D147" s="13" t="n">
        <v>1</v>
      </c>
      <c r="E147" s="14" t="s">
        <v>363</v>
      </c>
      <c r="F147" s="15"/>
      <c r="G147" s="15"/>
    </row>
    <row r="148" customFormat="false" ht="23.85" hidden="false" customHeight="false" outlineLevel="0" collapsed="false">
      <c r="A148" s="12" t="s">
        <v>170</v>
      </c>
      <c r="B148" s="13" t="s">
        <v>35</v>
      </c>
      <c r="C148" s="14" t="s">
        <v>171</v>
      </c>
      <c r="D148" s="13" t="n">
        <v>2</v>
      </c>
      <c r="E148" s="14" t="s">
        <v>364</v>
      </c>
      <c r="F148" s="15"/>
      <c r="G148" s="15"/>
    </row>
    <row r="149" customFormat="false" ht="23.85" hidden="false" customHeight="false" outlineLevel="0" collapsed="false">
      <c r="A149" s="12" t="s">
        <v>170</v>
      </c>
      <c r="B149" s="13" t="s">
        <v>35</v>
      </c>
      <c r="C149" s="14" t="s">
        <v>171</v>
      </c>
      <c r="D149" s="13" t="n">
        <v>3</v>
      </c>
      <c r="E149" s="14" t="s">
        <v>365</v>
      </c>
      <c r="F149" s="15"/>
      <c r="G149" s="15"/>
    </row>
    <row r="150" customFormat="false" ht="15" hidden="false" customHeight="false" outlineLevel="0" collapsed="false">
      <c r="A150" s="12" t="s">
        <v>170</v>
      </c>
      <c r="B150" s="13" t="s">
        <v>35</v>
      </c>
      <c r="C150" s="14" t="s">
        <v>171</v>
      </c>
      <c r="D150" s="13" t="n">
        <v>4</v>
      </c>
      <c r="E150" s="14" t="s">
        <v>366</v>
      </c>
      <c r="F150" s="15"/>
      <c r="G150" s="15"/>
    </row>
    <row r="151" customFormat="false" ht="23.85" hidden="false" customHeight="false" outlineLevel="0" collapsed="false">
      <c r="A151" s="12" t="s">
        <v>170</v>
      </c>
      <c r="B151" s="13" t="s">
        <v>35</v>
      </c>
      <c r="C151" s="14" t="s">
        <v>171</v>
      </c>
      <c r="D151" s="13" t="n">
        <v>5</v>
      </c>
      <c r="E151" s="14" t="s">
        <v>367</v>
      </c>
      <c r="F151" s="15"/>
      <c r="G151" s="15"/>
    </row>
    <row r="152" customFormat="false" ht="35.05" hidden="false" customHeight="false" outlineLevel="0" collapsed="false">
      <c r="A152" s="12" t="s">
        <v>173</v>
      </c>
      <c r="B152" s="13" t="s">
        <v>35</v>
      </c>
      <c r="C152" s="14" t="s">
        <v>174</v>
      </c>
      <c r="D152" s="13" t="n">
        <v>1</v>
      </c>
      <c r="E152" s="14" t="s">
        <v>368</v>
      </c>
      <c r="F152" s="15"/>
      <c r="G152" s="15"/>
    </row>
    <row r="153" customFormat="false" ht="23.85" hidden="false" customHeight="false" outlineLevel="0" collapsed="false">
      <c r="A153" s="12" t="s">
        <v>173</v>
      </c>
      <c r="B153" s="13" t="s">
        <v>35</v>
      </c>
      <c r="C153" s="14" t="s">
        <v>174</v>
      </c>
      <c r="D153" s="13" t="n">
        <v>2</v>
      </c>
      <c r="E153" s="14" t="s">
        <v>369</v>
      </c>
      <c r="F153" s="15"/>
      <c r="G153" s="15"/>
    </row>
    <row r="154" customFormat="false" ht="23.85" hidden="false" customHeight="false" outlineLevel="0" collapsed="false">
      <c r="A154" s="12" t="s">
        <v>173</v>
      </c>
      <c r="B154" s="13" t="s">
        <v>35</v>
      </c>
      <c r="C154" s="14" t="s">
        <v>174</v>
      </c>
      <c r="D154" s="13" t="n">
        <v>3</v>
      </c>
      <c r="E154" s="14" t="s">
        <v>370</v>
      </c>
      <c r="F154" s="15"/>
      <c r="G154" s="15"/>
    </row>
    <row r="155" customFormat="false" ht="23.85" hidden="false" customHeight="false" outlineLevel="0" collapsed="false">
      <c r="A155" s="12" t="s">
        <v>173</v>
      </c>
      <c r="B155" s="13" t="s">
        <v>35</v>
      </c>
      <c r="C155" s="14" t="s">
        <v>174</v>
      </c>
      <c r="D155" s="13" t="n">
        <v>4</v>
      </c>
      <c r="E155" s="14" t="s">
        <v>371</v>
      </c>
      <c r="F155" s="15"/>
      <c r="G155" s="15"/>
    </row>
    <row r="156" customFormat="false" ht="23.85" hidden="false" customHeight="false" outlineLevel="0" collapsed="false">
      <c r="A156" s="12" t="s">
        <v>173</v>
      </c>
      <c r="B156" s="13" t="s">
        <v>35</v>
      </c>
      <c r="C156" s="14" t="s">
        <v>174</v>
      </c>
      <c r="D156" s="13" t="n">
        <v>5</v>
      </c>
      <c r="E156" s="14" t="s">
        <v>372</v>
      </c>
      <c r="F156" s="15"/>
      <c r="G156" s="15"/>
    </row>
    <row r="157" customFormat="false" ht="23.85" hidden="false" customHeight="false" outlineLevel="0" collapsed="false">
      <c r="A157" s="12" t="s">
        <v>176</v>
      </c>
      <c r="B157" s="13" t="s">
        <v>35</v>
      </c>
      <c r="C157" s="14" t="s">
        <v>177</v>
      </c>
      <c r="D157" s="13" t="n">
        <v>1</v>
      </c>
      <c r="E157" s="14" t="s">
        <v>373</v>
      </c>
      <c r="F157" s="15"/>
      <c r="G157" s="15"/>
    </row>
    <row r="158" customFormat="false" ht="23.85" hidden="false" customHeight="false" outlineLevel="0" collapsed="false">
      <c r="A158" s="12" t="s">
        <v>176</v>
      </c>
      <c r="B158" s="13" t="s">
        <v>35</v>
      </c>
      <c r="C158" s="14" t="s">
        <v>177</v>
      </c>
      <c r="D158" s="13" t="n">
        <v>2</v>
      </c>
      <c r="E158" s="14" t="s">
        <v>374</v>
      </c>
      <c r="F158" s="15"/>
      <c r="G158" s="15"/>
    </row>
    <row r="159" customFormat="false" ht="15" hidden="false" customHeight="false" outlineLevel="0" collapsed="false">
      <c r="A159" s="12" t="s">
        <v>176</v>
      </c>
      <c r="B159" s="13" t="s">
        <v>35</v>
      </c>
      <c r="C159" s="14" t="s">
        <v>177</v>
      </c>
      <c r="D159" s="13" t="n">
        <v>3</v>
      </c>
      <c r="E159" s="14" t="s">
        <v>375</v>
      </c>
      <c r="F159" s="15"/>
      <c r="G159" s="15"/>
    </row>
    <row r="160" customFormat="false" ht="23.85" hidden="false" customHeight="false" outlineLevel="0" collapsed="false">
      <c r="A160" s="12" t="s">
        <v>176</v>
      </c>
      <c r="B160" s="13" t="s">
        <v>35</v>
      </c>
      <c r="C160" s="14" t="s">
        <v>177</v>
      </c>
      <c r="D160" s="13" t="n">
        <v>4</v>
      </c>
      <c r="E160" s="14" t="s">
        <v>376</v>
      </c>
      <c r="F160" s="15"/>
      <c r="G160" s="15"/>
    </row>
    <row r="161" customFormat="false" ht="23.85" hidden="false" customHeight="false" outlineLevel="0" collapsed="false">
      <c r="A161" s="12" t="s">
        <v>179</v>
      </c>
      <c r="B161" s="13" t="s">
        <v>35</v>
      </c>
      <c r="C161" s="14" t="s">
        <v>180</v>
      </c>
      <c r="D161" s="13" t="n">
        <v>1</v>
      </c>
      <c r="E161" s="14" t="s">
        <v>377</v>
      </c>
      <c r="F161" s="15"/>
      <c r="G161" s="15"/>
    </row>
    <row r="162" customFormat="false" ht="23.85" hidden="false" customHeight="false" outlineLevel="0" collapsed="false">
      <c r="A162" s="12" t="s">
        <v>179</v>
      </c>
      <c r="B162" s="13" t="s">
        <v>35</v>
      </c>
      <c r="C162" s="14" t="s">
        <v>180</v>
      </c>
      <c r="D162" s="13" t="n">
        <v>2</v>
      </c>
      <c r="E162" s="14" t="s">
        <v>378</v>
      </c>
      <c r="F162" s="15"/>
      <c r="G162" s="15"/>
    </row>
    <row r="163" customFormat="false" ht="23.85" hidden="false" customHeight="false" outlineLevel="0" collapsed="false">
      <c r="A163" s="12" t="s">
        <v>179</v>
      </c>
      <c r="B163" s="13" t="s">
        <v>35</v>
      </c>
      <c r="C163" s="14" t="s">
        <v>180</v>
      </c>
      <c r="D163" s="13" t="n">
        <v>3</v>
      </c>
      <c r="E163" s="14" t="s">
        <v>379</v>
      </c>
      <c r="F163" s="15"/>
      <c r="G163" s="15"/>
    </row>
    <row r="164" customFormat="false" ht="23.85" hidden="false" customHeight="false" outlineLevel="0" collapsed="false">
      <c r="A164" s="12" t="s">
        <v>179</v>
      </c>
      <c r="B164" s="13" t="s">
        <v>35</v>
      </c>
      <c r="C164" s="14" t="s">
        <v>180</v>
      </c>
      <c r="D164" s="13" t="n">
        <v>4</v>
      </c>
      <c r="E164" s="14" t="s">
        <v>380</v>
      </c>
      <c r="F164" s="15"/>
      <c r="G164" s="15"/>
    </row>
    <row r="165" customFormat="false" ht="23.85" hidden="false" customHeight="false" outlineLevel="0" collapsed="false">
      <c r="A165" s="12" t="s">
        <v>182</v>
      </c>
      <c r="B165" s="13" t="s">
        <v>35</v>
      </c>
      <c r="C165" s="14" t="s">
        <v>183</v>
      </c>
      <c r="D165" s="13" t="n">
        <v>1</v>
      </c>
      <c r="E165" s="14" t="s">
        <v>381</v>
      </c>
      <c r="F165" s="15"/>
      <c r="G165" s="15"/>
    </row>
    <row r="166" customFormat="false" ht="23.85" hidden="false" customHeight="false" outlineLevel="0" collapsed="false">
      <c r="A166" s="12" t="s">
        <v>182</v>
      </c>
      <c r="B166" s="13" t="s">
        <v>35</v>
      </c>
      <c r="C166" s="14" t="s">
        <v>183</v>
      </c>
      <c r="D166" s="13" t="n">
        <v>2</v>
      </c>
      <c r="E166" s="14" t="s">
        <v>382</v>
      </c>
      <c r="F166" s="15"/>
      <c r="G166" s="15"/>
    </row>
    <row r="167" customFormat="false" ht="23.85" hidden="false" customHeight="false" outlineLevel="0" collapsed="false">
      <c r="A167" s="12" t="s">
        <v>182</v>
      </c>
      <c r="B167" s="13" t="s">
        <v>35</v>
      </c>
      <c r="C167" s="14" t="s">
        <v>183</v>
      </c>
      <c r="D167" s="13" t="n">
        <v>3</v>
      </c>
      <c r="E167" s="14" t="s">
        <v>383</v>
      </c>
      <c r="F167" s="15"/>
      <c r="G167" s="15"/>
    </row>
    <row r="168" customFormat="false" ht="23.85" hidden="false" customHeight="false" outlineLevel="0" collapsed="false">
      <c r="A168" s="12" t="s">
        <v>185</v>
      </c>
      <c r="B168" s="13" t="s">
        <v>35</v>
      </c>
      <c r="C168" s="14" t="s">
        <v>186</v>
      </c>
      <c r="D168" s="13" t="n">
        <v>1</v>
      </c>
      <c r="E168" s="14" t="s">
        <v>384</v>
      </c>
      <c r="F168" s="15"/>
      <c r="G168" s="15"/>
    </row>
    <row r="169" customFormat="false" ht="15" hidden="false" customHeight="false" outlineLevel="0" collapsed="false">
      <c r="A169" s="12" t="s">
        <v>185</v>
      </c>
      <c r="B169" s="13" t="s">
        <v>35</v>
      </c>
      <c r="C169" s="14" t="s">
        <v>186</v>
      </c>
      <c r="D169" s="13" t="n">
        <v>2</v>
      </c>
      <c r="E169" s="14" t="s">
        <v>385</v>
      </c>
      <c r="F169" s="15"/>
      <c r="G169" s="15"/>
    </row>
    <row r="170" customFormat="false" ht="23.85" hidden="false" customHeight="false" outlineLevel="0" collapsed="false">
      <c r="A170" s="12" t="s">
        <v>185</v>
      </c>
      <c r="B170" s="13" t="s">
        <v>35</v>
      </c>
      <c r="C170" s="14" t="s">
        <v>186</v>
      </c>
      <c r="D170" s="13" t="n">
        <v>3</v>
      </c>
      <c r="E170" s="14" t="s">
        <v>386</v>
      </c>
      <c r="F170" s="15"/>
      <c r="G170" s="15"/>
    </row>
    <row r="171" customFormat="false" ht="15" hidden="false" customHeight="false" outlineLevel="0" collapsed="false">
      <c r="A171" s="12" t="s">
        <v>185</v>
      </c>
      <c r="B171" s="13" t="s">
        <v>35</v>
      </c>
      <c r="C171" s="14" t="s">
        <v>186</v>
      </c>
      <c r="D171" s="13" t="n">
        <v>4</v>
      </c>
      <c r="E171" s="14" t="s">
        <v>387</v>
      </c>
      <c r="F171" s="15"/>
      <c r="G171" s="15"/>
    </row>
    <row r="172" customFormat="false" ht="23.85" hidden="false" customHeight="false" outlineLevel="0" collapsed="false">
      <c r="A172" s="12" t="s">
        <v>188</v>
      </c>
      <c r="B172" s="13" t="s">
        <v>35</v>
      </c>
      <c r="C172" s="14" t="s">
        <v>189</v>
      </c>
      <c r="D172" s="13" t="n">
        <v>1</v>
      </c>
      <c r="E172" s="14" t="s">
        <v>388</v>
      </c>
      <c r="F172" s="15"/>
      <c r="G172" s="15"/>
    </row>
    <row r="173" customFormat="false" ht="23.85" hidden="false" customHeight="false" outlineLevel="0" collapsed="false">
      <c r="A173" s="12" t="s">
        <v>188</v>
      </c>
      <c r="B173" s="13" t="s">
        <v>35</v>
      </c>
      <c r="C173" s="14" t="s">
        <v>189</v>
      </c>
      <c r="D173" s="13" t="n">
        <v>2</v>
      </c>
      <c r="E173" s="14" t="s">
        <v>389</v>
      </c>
      <c r="F173" s="15"/>
      <c r="G173" s="15"/>
    </row>
    <row r="174" customFormat="false" ht="23.85" hidden="false" customHeight="false" outlineLevel="0" collapsed="false">
      <c r="A174" s="12" t="s">
        <v>188</v>
      </c>
      <c r="B174" s="13" t="s">
        <v>35</v>
      </c>
      <c r="C174" s="14" t="s">
        <v>189</v>
      </c>
      <c r="D174" s="13" t="n">
        <v>3</v>
      </c>
      <c r="E174" s="14" t="s">
        <v>390</v>
      </c>
      <c r="F174" s="15"/>
      <c r="G174" s="15"/>
    </row>
    <row r="175" customFormat="false" ht="15" hidden="false" customHeight="false" outlineLevel="0" collapsed="false">
      <c r="A175" s="12" t="s">
        <v>188</v>
      </c>
      <c r="B175" s="13" t="s">
        <v>35</v>
      </c>
      <c r="C175" s="14" t="s">
        <v>189</v>
      </c>
      <c r="D175" s="13" t="n">
        <v>4</v>
      </c>
      <c r="E175" s="14" t="s">
        <v>391</v>
      </c>
      <c r="F175" s="15"/>
      <c r="G175" s="15"/>
    </row>
    <row r="176" customFormat="false" ht="23.85" hidden="false" customHeight="false" outlineLevel="0" collapsed="false">
      <c r="A176" s="12" t="s">
        <v>191</v>
      </c>
      <c r="B176" s="13" t="s">
        <v>37</v>
      </c>
      <c r="C176" s="14" t="s">
        <v>193</v>
      </c>
      <c r="D176" s="13" t="n">
        <v>1</v>
      </c>
      <c r="E176" s="14" t="s">
        <v>392</v>
      </c>
      <c r="F176" s="15"/>
      <c r="G176" s="15"/>
    </row>
    <row r="177" customFormat="false" ht="23.85" hidden="false" customHeight="false" outlineLevel="0" collapsed="false">
      <c r="A177" s="12" t="s">
        <v>191</v>
      </c>
      <c r="B177" s="13" t="s">
        <v>37</v>
      </c>
      <c r="C177" s="14" t="s">
        <v>193</v>
      </c>
      <c r="D177" s="13" t="n">
        <v>2</v>
      </c>
      <c r="E177" s="14" t="s">
        <v>393</v>
      </c>
      <c r="F177" s="15"/>
      <c r="G177" s="15"/>
    </row>
    <row r="178" customFormat="false" ht="23.85" hidden="false" customHeight="false" outlineLevel="0" collapsed="false">
      <c r="A178" s="12" t="s">
        <v>191</v>
      </c>
      <c r="B178" s="13" t="s">
        <v>37</v>
      </c>
      <c r="C178" s="14" t="s">
        <v>193</v>
      </c>
      <c r="D178" s="13" t="n">
        <v>3</v>
      </c>
      <c r="E178" s="14" t="s">
        <v>394</v>
      </c>
      <c r="F178" s="15"/>
      <c r="G178" s="15"/>
    </row>
    <row r="179" customFormat="false" ht="23.85" hidden="false" customHeight="false" outlineLevel="0" collapsed="false">
      <c r="A179" s="12" t="s">
        <v>191</v>
      </c>
      <c r="B179" s="13" t="s">
        <v>37</v>
      </c>
      <c r="C179" s="14" t="s">
        <v>193</v>
      </c>
      <c r="D179" s="13" t="n">
        <v>4</v>
      </c>
      <c r="E179" s="14" t="s">
        <v>395</v>
      </c>
      <c r="F179" s="15"/>
      <c r="G179" s="15"/>
    </row>
    <row r="180" customFormat="false" ht="23.85" hidden="false" customHeight="false" outlineLevel="0" collapsed="false">
      <c r="A180" s="12" t="s">
        <v>191</v>
      </c>
      <c r="B180" s="13" t="s">
        <v>37</v>
      </c>
      <c r="C180" s="14" t="s">
        <v>193</v>
      </c>
      <c r="D180" s="13" t="n">
        <v>5</v>
      </c>
      <c r="E180" s="14" t="s">
        <v>396</v>
      </c>
      <c r="F180" s="15"/>
      <c r="G180" s="15"/>
    </row>
    <row r="181" customFormat="false" ht="23.85" hidden="false" customHeight="false" outlineLevel="0" collapsed="false">
      <c r="A181" s="12" t="s">
        <v>195</v>
      </c>
      <c r="B181" s="13" t="s">
        <v>37</v>
      </c>
      <c r="C181" s="14" t="s">
        <v>196</v>
      </c>
      <c r="D181" s="13" t="n">
        <v>1</v>
      </c>
      <c r="E181" s="14" t="s">
        <v>397</v>
      </c>
      <c r="F181" s="15"/>
      <c r="G181" s="15"/>
    </row>
    <row r="182" customFormat="false" ht="15" hidden="false" customHeight="false" outlineLevel="0" collapsed="false">
      <c r="A182" s="12" t="s">
        <v>195</v>
      </c>
      <c r="B182" s="13" t="s">
        <v>37</v>
      </c>
      <c r="C182" s="14" t="s">
        <v>196</v>
      </c>
      <c r="D182" s="13" t="n">
        <v>2</v>
      </c>
      <c r="E182" s="14" t="s">
        <v>398</v>
      </c>
      <c r="F182" s="15"/>
      <c r="G182" s="15"/>
    </row>
    <row r="183" customFormat="false" ht="15" hidden="false" customHeight="false" outlineLevel="0" collapsed="false">
      <c r="A183" s="12" t="s">
        <v>195</v>
      </c>
      <c r="B183" s="13" t="s">
        <v>37</v>
      </c>
      <c r="C183" s="14" t="s">
        <v>196</v>
      </c>
      <c r="D183" s="13" t="n">
        <v>3</v>
      </c>
      <c r="E183" s="14" t="s">
        <v>399</v>
      </c>
      <c r="F183" s="15"/>
      <c r="G183" s="15"/>
    </row>
    <row r="184" customFormat="false" ht="23.85" hidden="false" customHeight="false" outlineLevel="0" collapsed="false">
      <c r="A184" s="12" t="s">
        <v>195</v>
      </c>
      <c r="B184" s="13" t="s">
        <v>37</v>
      </c>
      <c r="C184" s="14" t="s">
        <v>196</v>
      </c>
      <c r="D184" s="13" t="n">
        <v>4</v>
      </c>
      <c r="E184" s="14" t="s">
        <v>400</v>
      </c>
      <c r="F184" s="15"/>
      <c r="G184" s="15"/>
    </row>
    <row r="185" customFormat="false" ht="23.85" hidden="false" customHeight="false" outlineLevel="0" collapsed="false">
      <c r="A185" s="12" t="s">
        <v>195</v>
      </c>
      <c r="B185" s="13" t="s">
        <v>37</v>
      </c>
      <c r="C185" s="14" t="s">
        <v>196</v>
      </c>
      <c r="D185" s="13" t="n">
        <v>5</v>
      </c>
      <c r="E185" s="14" t="s">
        <v>401</v>
      </c>
      <c r="F185" s="15"/>
      <c r="G185" s="15"/>
    </row>
    <row r="186" customFormat="false" ht="23.85" hidden="false" customHeight="false" outlineLevel="0" collapsed="false">
      <c r="A186" s="12" t="s">
        <v>198</v>
      </c>
      <c r="B186" s="13" t="s">
        <v>37</v>
      </c>
      <c r="C186" s="14" t="s">
        <v>199</v>
      </c>
      <c r="D186" s="13" t="n">
        <v>1</v>
      </c>
      <c r="E186" s="14" t="s">
        <v>402</v>
      </c>
      <c r="F186" s="15"/>
      <c r="G186" s="15"/>
    </row>
    <row r="187" customFormat="false" ht="23.85" hidden="false" customHeight="false" outlineLevel="0" collapsed="false">
      <c r="A187" s="12" t="s">
        <v>198</v>
      </c>
      <c r="B187" s="13" t="s">
        <v>37</v>
      </c>
      <c r="C187" s="14" t="s">
        <v>199</v>
      </c>
      <c r="D187" s="13" t="n">
        <v>2</v>
      </c>
      <c r="E187" s="14" t="s">
        <v>403</v>
      </c>
      <c r="F187" s="15"/>
      <c r="G187" s="15"/>
    </row>
    <row r="188" customFormat="false" ht="23.85" hidden="false" customHeight="false" outlineLevel="0" collapsed="false">
      <c r="A188" s="12" t="s">
        <v>198</v>
      </c>
      <c r="B188" s="13" t="s">
        <v>37</v>
      </c>
      <c r="C188" s="14" t="s">
        <v>199</v>
      </c>
      <c r="D188" s="13" t="n">
        <v>3</v>
      </c>
      <c r="E188" s="14" t="s">
        <v>404</v>
      </c>
      <c r="F188" s="15"/>
      <c r="G188" s="15"/>
    </row>
    <row r="189" customFormat="false" ht="23.85" hidden="false" customHeight="false" outlineLevel="0" collapsed="false">
      <c r="A189" s="12" t="s">
        <v>198</v>
      </c>
      <c r="B189" s="13" t="s">
        <v>37</v>
      </c>
      <c r="C189" s="14" t="s">
        <v>199</v>
      </c>
      <c r="D189" s="13" t="n">
        <v>4</v>
      </c>
      <c r="E189" s="14" t="s">
        <v>405</v>
      </c>
      <c r="F189" s="15"/>
      <c r="G189" s="15"/>
    </row>
    <row r="190" customFormat="false" ht="23.85" hidden="false" customHeight="false" outlineLevel="0" collapsed="false">
      <c r="A190" s="12" t="s">
        <v>201</v>
      </c>
      <c r="B190" s="13" t="s">
        <v>40</v>
      </c>
      <c r="C190" s="14" t="s">
        <v>202</v>
      </c>
      <c r="D190" s="13" t="n">
        <v>1</v>
      </c>
      <c r="E190" s="14" t="s">
        <v>406</v>
      </c>
      <c r="F190" s="15"/>
      <c r="G190" s="15"/>
    </row>
    <row r="191" customFormat="false" ht="15" hidden="false" customHeight="false" outlineLevel="0" collapsed="false">
      <c r="A191" s="12" t="s">
        <v>201</v>
      </c>
      <c r="B191" s="13" t="s">
        <v>40</v>
      </c>
      <c r="C191" s="14" t="s">
        <v>202</v>
      </c>
      <c r="D191" s="13" t="n">
        <v>2</v>
      </c>
      <c r="E191" s="14" t="s">
        <v>407</v>
      </c>
      <c r="F191" s="15"/>
      <c r="G191" s="15"/>
    </row>
    <row r="192" customFormat="false" ht="15" hidden="false" customHeight="false" outlineLevel="0" collapsed="false">
      <c r="A192" s="12" t="s">
        <v>201</v>
      </c>
      <c r="B192" s="13" t="s">
        <v>40</v>
      </c>
      <c r="C192" s="14" t="s">
        <v>202</v>
      </c>
      <c r="D192" s="13" t="n">
        <v>3</v>
      </c>
      <c r="E192" s="14" t="s">
        <v>408</v>
      </c>
      <c r="F192" s="15"/>
      <c r="G192" s="15"/>
    </row>
    <row r="193" customFormat="false" ht="23.85" hidden="false" customHeight="false" outlineLevel="0" collapsed="false">
      <c r="A193" s="12" t="s">
        <v>201</v>
      </c>
      <c r="B193" s="13" t="s">
        <v>40</v>
      </c>
      <c r="C193" s="14" t="s">
        <v>202</v>
      </c>
      <c r="D193" s="13" t="n">
        <v>4</v>
      </c>
      <c r="E193" s="14" t="s">
        <v>409</v>
      </c>
      <c r="F193" s="15"/>
      <c r="G193" s="15"/>
    </row>
    <row r="194" customFormat="false" ht="23.85" hidden="false" customHeight="false" outlineLevel="0" collapsed="false">
      <c r="A194" s="12" t="s">
        <v>201</v>
      </c>
      <c r="B194" s="13" t="s">
        <v>40</v>
      </c>
      <c r="C194" s="14" t="s">
        <v>202</v>
      </c>
      <c r="D194" s="13" t="n">
        <v>5</v>
      </c>
      <c r="E194" s="14" t="s">
        <v>410</v>
      </c>
      <c r="F194" s="15"/>
      <c r="G194" s="15"/>
    </row>
    <row r="195" customFormat="false" ht="23.85" hidden="false" customHeight="false" outlineLevel="0" collapsed="false">
      <c r="A195" s="12" t="s">
        <v>204</v>
      </c>
      <c r="B195" s="13" t="s">
        <v>40</v>
      </c>
      <c r="C195" s="14" t="s">
        <v>205</v>
      </c>
      <c r="D195" s="13" t="n">
        <v>1</v>
      </c>
      <c r="E195" s="14" t="s">
        <v>411</v>
      </c>
      <c r="F195" s="15"/>
      <c r="G195" s="15"/>
    </row>
    <row r="196" customFormat="false" ht="15" hidden="false" customHeight="false" outlineLevel="0" collapsed="false">
      <c r="A196" s="12" t="s">
        <v>204</v>
      </c>
      <c r="B196" s="13" t="s">
        <v>40</v>
      </c>
      <c r="C196" s="14" t="s">
        <v>205</v>
      </c>
      <c r="D196" s="13" t="n">
        <v>2</v>
      </c>
      <c r="E196" s="14" t="s">
        <v>412</v>
      </c>
      <c r="F196" s="15"/>
      <c r="G196" s="15"/>
    </row>
    <row r="197" customFormat="false" ht="15" hidden="false" customHeight="false" outlineLevel="0" collapsed="false">
      <c r="A197" s="12" t="s">
        <v>204</v>
      </c>
      <c r="B197" s="13" t="s">
        <v>40</v>
      </c>
      <c r="C197" s="14" t="s">
        <v>205</v>
      </c>
      <c r="D197" s="13" t="n">
        <v>3</v>
      </c>
      <c r="E197" s="14" t="s">
        <v>413</v>
      </c>
      <c r="F197" s="15"/>
      <c r="G197" s="15"/>
    </row>
    <row r="198" customFormat="false" ht="15" hidden="false" customHeight="false" outlineLevel="0" collapsed="false">
      <c r="A198" s="12" t="s">
        <v>204</v>
      </c>
      <c r="B198" s="13" t="s">
        <v>40</v>
      </c>
      <c r="C198" s="14" t="s">
        <v>205</v>
      </c>
      <c r="D198" s="13" t="n">
        <v>4</v>
      </c>
      <c r="E198" s="14" t="s">
        <v>414</v>
      </c>
      <c r="F198" s="15"/>
      <c r="G198" s="15"/>
    </row>
    <row r="199" customFormat="false" ht="15" hidden="false" customHeight="false" outlineLevel="0" collapsed="false">
      <c r="A199" s="12" t="s">
        <v>204</v>
      </c>
      <c r="B199" s="13" t="s">
        <v>40</v>
      </c>
      <c r="C199" s="14" t="s">
        <v>205</v>
      </c>
      <c r="D199" s="13" t="n">
        <v>5</v>
      </c>
      <c r="E199" s="14" t="s">
        <v>415</v>
      </c>
      <c r="F199" s="15"/>
      <c r="G199" s="15"/>
    </row>
    <row r="200" customFormat="false" ht="15" hidden="false" customHeight="false" outlineLevel="0" collapsed="false">
      <c r="A200" s="12" t="s">
        <v>207</v>
      </c>
      <c r="B200" s="13" t="s">
        <v>40</v>
      </c>
      <c r="C200" s="14" t="s">
        <v>208</v>
      </c>
      <c r="D200" s="13" t="n">
        <v>1</v>
      </c>
      <c r="E200" s="14" t="s">
        <v>416</v>
      </c>
      <c r="F200" s="15"/>
      <c r="G200" s="15"/>
    </row>
    <row r="201" customFormat="false" ht="15" hidden="false" customHeight="false" outlineLevel="0" collapsed="false">
      <c r="A201" s="12" t="s">
        <v>207</v>
      </c>
      <c r="B201" s="13" t="s">
        <v>40</v>
      </c>
      <c r="C201" s="14" t="s">
        <v>208</v>
      </c>
      <c r="D201" s="13" t="n">
        <v>2</v>
      </c>
      <c r="E201" s="14" t="s">
        <v>417</v>
      </c>
      <c r="F201" s="15"/>
      <c r="G201" s="15"/>
    </row>
    <row r="202" customFormat="false" ht="15" hidden="false" customHeight="false" outlineLevel="0" collapsed="false">
      <c r="A202" s="12" t="s">
        <v>207</v>
      </c>
      <c r="B202" s="13" t="s">
        <v>40</v>
      </c>
      <c r="C202" s="14" t="s">
        <v>208</v>
      </c>
      <c r="D202" s="13" t="n">
        <v>3</v>
      </c>
      <c r="E202" s="14" t="s">
        <v>418</v>
      </c>
      <c r="F202" s="15"/>
      <c r="G202" s="15"/>
    </row>
    <row r="203" customFormat="false" ht="15" hidden="false" customHeight="false" outlineLevel="0" collapsed="false">
      <c r="A203" s="12" t="s">
        <v>207</v>
      </c>
      <c r="B203" s="13" t="s">
        <v>40</v>
      </c>
      <c r="C203" s="14" t="s">
        <v>208</v>
      </c>
      <c r="D203" s="13" t="n">
        <v>4</v>
      </c>
      <c r="E203" s="14" t="s">
        <v>419</v>
      </c>
      <c r="F203" s="15"/>
      <c r="G203" s="15"/>
    </row>
    <row r="204" customFormat="false" ht="15" hidden="false" customHeight="false" outlineLevel="0" collapsed="false">
      <c r="A204" s="12" t="s">
        <v>210</v>
      </c>
      <c r="B204" s="13" t="s">
        <v>40</v>
      </c>
      <c r="C204" s="14" t="s">
        <v>211</v>
      </c>
      <c r="D204" s="13" t="n">
        <v>1</v>
      </c>
      <c r="E204" s="14" t="s">
        <v>420</v>
      </c>
      <c r="F204" s="15"/>
      <c r="G204" s="15"/>
    </row>
    <row r="205" customFormat="false" ht="23.85" hidden="false" customHeight="false" outlineLevel="0" collapsed="false">
      <c r="A205" s="12" t="s">
        <v>210</v>
      </c>
      <c r="B205" s="13" t="s">
        <v>40</v>
      </c>
      <c r="C205" s="14" t="s">
        <v>211</v>
      </c>
      <c r="D205" s="13" t="n">
        <v>2</v>
      </c>
      <c r="E205" s="14" t="s">
        <v>421</v>
      </c>
      <c r="F205" s="15"/>
      <c r="G205" s="15"/>
    </row>
    <row r="206" customFormat="false" ht="15" hidden="false" customHeight="false" outlineLevel="0" collapsed="false">
      <c r="A206" s="12" t="s">
        <v>210</v>
      </c>
      <c r="B206" s="13" t="s">
        <v>40</v>
      </c>
      <c r="C206" s="14" t="s">
        <v>211</v>
      </c>
      <c r="D206" s="13" t="n">
        <v>3</v>
      </c>
      <c r="E206" s="14" t="s">
        <v>422</v>
      </c>
      <c r="F206" s="15"/>
      <c r="G206" s="15"/>
    </row>
    <row r="207" customFormat="false" ht="23.85" hidden="false" customHeight="false" outlineLevel="0" collapsed="false">
      <c r="A207" s="12" t="s">
        <v>210</v>
      </c>
      <c r="B207" s="13" t="s">
        <v>40</v>
      </c>
      <c r="C207" s="14" t="s">
        <v>211</v>
      </c>
      <c r="D207" s="13" t="n">
        <v>4</v>
      </c>
      <c r="E207" s="14" t="s">
        <v>423</v>
      </c>
      <c r="F207" s="15"/>
      <c r="G207" s="15"/>
    </row>
  </sheetData>
  <autoFilter ref="A1:G2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2026-07-14T08:55:42Z</dcterms:created>
  <dc:creator>openpyxl</dc:creator>
  <dc:description/>
  <dc:language>en-US</dc:language>
  <cp:lastModifiedBy/>
  <dcterms:modified xsi:type="dcterms:W3CDTF">2026-07-14T08:55:43Z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